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487a5c5c6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1cc19aa413f41e1"/>
    <x:sheet xmlns:r="http://schemas.openxmlformats.org/officeDocument/2006/relationships" name="Funciones" sheetId="2" r:id="R911dd0d9cfc14d48"/>
    <x:sheet xmlns:r="http://schemas.openxmlformats.org/officeDocument/2006/relationships" name="Fuentes" sheetId="3" r:id="R67961597db54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hh:mm"/>
    <x:numFmt numFmtId="202" formatCode="yyyy-mm-dd hh:mm"/>
    <x:numFmt numFmtId="203" formatCode="#,##0"/>
    <x:numFmt numFmtId="204" formatCode="0.0%"/>
  </x:numFmts>
  <x:fonts count="14">
    <x:font>
      <x:sz val="11"/>
      <x:name val="Carlito"/>
    </x:font>
    <x:font>
      <x:sz val="11"/>
      <x:color rgb="FF252622"/>
      <x:name val="Carlito"/>
    </x:font>
    <x:font>
      <x:b/>
      <x:sz val="11"/>
      <x:color rgb="FFFFFFFF"/>
      <x:name val="Carlito"/>
    </x:font>
    <x:font>
      <x:b/>
      <x:sz val="11"/>
      <x:color rgb="FF6D716B"/>
      <x:name val="Carlito"/>
    </x:font>
    <x:font>
      <x:b/>
      <x:sz val="11"/>
      <x:color rgb="FF21443A"/>
      <x:name val="Carlito"/>
    </x:font>
    <x:font>
      <x:b/>
      <x:sz val="11"/>
      <x:color rgb="FF252622"/>
      <x:name val="Carlito"/>
    </x:font>
    <x:font>
      <x:sz val="11"/>
      <x:color rgb="FF6D716B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6D716B"/>
      <x:name val="Aptos"/>
    </x:font>
    <x:font>
      <x:b/>
      <x:sz val="11"/>
      <x:color rgb="FF21443A"/>
      <x:name val="Aptos"/>
    </x:font>
    <x:font>
      <x:sz val="11"/>
      <x:color rgb="FF252622"/>
      <x:name val="Aptos"/>
    </x:font>
    <x:font>
      <x:b/>
      <x:sz val="11"/>
      <x:color rgb="FF252622"/>
      <x:name val="Aptos"/>
    </x:font>
    <x:font>
      <x:sz val="11"/>
      <x:color rgb="FF6D716B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21443A"/>
      </x:patternFill>
    </x:fill>
    <x:fill>
      <x:patternFill patternType="solid">
        <x:fgColor rgb="FFF3EFE7"/>
      </x:patternFill>
    </x:fill>
    <x:fill>
      <x:patternFill patternType="solid">
        <x:fgColor rgb="FFFBF9F4"/>
      </x:patternFill>
    </x:fill>
    <x:fill>
      <x:patternFill patternType="solid">
        <x:fgColor rgb="FFC8683B"/>
      </x:patternFill>
    </x:fill>
  </x:fills>
  <x:borders count="12">
    <x:border/>
    <x:border>
      <x:left style="thin">
        <x:color rgb="FFD9D4CA"/>
      </x:left>
      <x:top style="thin">
        <x:color rgb="FFD9D4CA"/>
      </x:top>
      <x:bottom style="thin">
        <x:color rgb="FFD9D4CA"/>
      </x:bottom>
    </x:border>
    <x:border>
      <x:top style="thin">
        <x:color rgb="FFD9D4CA"/>
      </x:top>
      <x:bottom style="thin">
        <x:color rgb="FFD9D4CA"/>
      </x:bottom>
    </x:border>
    <x:border>
      <x:right style="thin">
        <x:color rgb="FFD9D4CA"/>
      </x:right>
      <x:top style="thin">
        <x:color rgb="FFD9D4CA"/>
      </x:top>
      <x:bottom style="thin">
        <x:color rgb="FFD9D4CA"/>
      </x:bottom>
    </x:border>
    <x:border>
      <x:bottom style="thin">
        <x:color rgb="FFD9D4CA"/>
      </x:bottom>
    </x:border>
    <x:border>
      <x:left style="thin">
        <x:color rgb="FFD9D4CA"/>
      </x:left>
      <x:top style="thin">
        <x:color rgb="FFD9D4CA"/>
      </x:top>
    </x:border>
    <x:border>
      <x:top style="thin">
        <x:color rgb="FFD9D4CA"/>
      </x:top>
    </x:border>
    <x:border>
      <x:right style="thin">
        <x:color rgb="FFD9D4CA"/>
      </x:right>
      <x:top style="thin">
        <x:color rgb="FFD9D4CA"/>
      </x:top>
    </x:border>
    <x:border>
      <x:left style="thin">
        <x:color rgb="FFD9D4CA"/>
      </x:left>
    </x:border>
    <x:border>
      <x:right style="thin">
        <x:color rgb="FFD9D4CA"/>
      </x:right>
    </x:border>
    <x:border>
      <x:left style="thin">
        <x:color rgb="FFD9D4CA"/>
      </x:left>
      <x:bottom style="thin">
        <x:color rgb="FFD9D4CA"/>
      </x:bottom>
    </x:border>
    <x:border>
      <x:right style="thin">
        <x:color rgb="FFD9D4CA"/>
      </x:right>
      <x:bottom style="thin">
        <x:color rgb="FFD9D4CA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203" fontId="4" fillId="5" borderId="1" xfId="0" applyNumberFormat="1" applyFont="1" applyFill="1" applyBorder="1"/>
    <x:xf numFmtId="203" fontId="4" fillId="5" borderId="2" xfId="0" applyNumberFormat="1" applyFont="1" applyFill="1" applyBorder="1"/>
    <x:xf numFmtId="203" fontId="4" fillId="5" borderId="3" xfId="0" applyNumberFormat="1" applyFont="1" applyFill="1" applyBorder="1"/>
    <x:xf numFmtId="203" fontId="4" fillId="5" borderId="1" xfId="0" applyNumberFormat="1" applyFont="1" applyFill="1" applyBorder="1" applyAlignment="1">
      <x:alignment horizontal="center"/>
    </x:xf>
    <x:xf numFmtId="203" fontId="4" fillId="5" borderId="2" xfId="0" applyNumberFormat="1" applyFont="1" applyFill="1" applyBorder="1" applyAlignment="1">
      <x:alignment horizontal="center"/>
    </x:xf>
    <x:xf numFmtId="203" fontId="4" fillId="5" borderId="3" xfId="0" applyNumberFormat="1" applyFont="1" applyFill="1" applyBorder="1" applyAlignment="1">
      <x:alignment horizontal="center"/>
    </x:xf>
    <x:xf numFmtId="203" fontId="4" fillId="5" borderId="1" xfId="0" applyNumberFormat="1" applyFont="1" applyFill="1" applyBorder="1" applyAlignment="1">
      <x:alignment horizontal="center" vertical="center"/>
    </x:xf>
    <x:xf numFmtId="203" fontId="4" fillId="5" borderId="2" xfId="0" applyNumberFormat="1" applyFont="1" applyFill="1" applyBorder="1" applyAlignment="1">
      <x:alignment horizontal="center" vertical="center"/>
    </x:xf>
    <x:xf numFmtId="203" fontId="4" fillId="5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4" xfId="0" applyNumberFormat="1" applyFont="1" applyFill="1" applyBorder="1"/>
    <x:xf numFmtId="0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0" fontId="1" fillId="5" borderId="4" xfId="0" applyNumberFormat="1" applyFont="1" applyFill="1" applyBorder="1"/>
    <x:xf numFmtId="0" fontId="1" fillId="5" borderId="11" xfId="0" applyNumberFormat="1" applyFont="1" applyFill="1" applyBorder="1"/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10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1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/>
    </x:xf>
    <x:xf numFmtId="203" fontId="10" fillId="5" borderId="1" xfId="0" applyNumberFormat="1" applyFont="1" applyFill="1" applyBorder="1" applyAlignment="1">
      <x:alignment horizontal="center" vertical="center"/>
    </x:xf>
    <x:xf numFmtId="203" fontId="10" fillId="5" borderId="2" xfId="0" applyNumberFormat="1" applyFont="1" applyFill="1" applyBorder="1" applyAlignment="1">
      <x:alignment horizontal="center" vertical="center"/>
    </x:xf>
    <x:xf numFmtId="203" fontId="10" fillId="5" borderId="3" xfId="0" applyNumberFormat="1" applyFont="1" applyFill="1" applyBorder="1" applyAlignment="1">
      <x:alignment horizontal="center" vertical="center"/>
    </x:xf>
    <x:xf numFmtId="0" fontId="11" fillId="5" borderId="5" xfId="0" applyNumberFormat="1" applyFont="1" applyFill="1" applyBorder="1" applyAlignment="1">
      <x:alignment vertical="top" wrapText="1"/>
    </x:xf>
    <x:xf numFmtId="0" fontId="11" fillId="5" borderId="6" xfId="0" applyNumberFormat="1" applyFont="1" applyFill="1" applyBorder="1" applyAlignment="1">
      <x:alignment vertical="top" wrapText="1"/>
    </x:xf>
    <x:xf numFmtId="0" fontId="11" fillId="5" borderId="7" xfId="0" applyNumberFormat="1" applyFont="1" applyFill="1" applyBorder="1" applyAlignment="1">
      <x:alignment vertical="top" wrapText="1"/>
    </x:xf>
    <x:xf numFmtId="0" fontId="11" fillId="5" borderId="8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5" borderId="9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/>
    <x:xf numFmtId="202" fontId="8" fillId="0" borderId="0" xfId="0" applyNumberFormat="1" applyFont="1" applyFill="1" applyBorder="1"/>
    <x:xf numFmtId="200" fontId="8" fillId="0" borderId="0" xfId="0" applyNumberFormat="1" applyFont="1" applyFill="1" applyBorder="1"/>
    <x:xf numFmtId="0" fontId="11" fillId="5" borderId="10" xfId="0" applyNumberFormat="1" applyFont="1" applyFill="1" applyBorder="1" applyAlignment="1">
      <x:alignment vertical="top" wrapText="1"/>
    </x:xf>
    <x:xf numFmtId="0" fontId="11" fillId="5" borderId="4" xfId="0" applyNumberFormat="1" applyFont="1" applyFill="1" applyBorder="1" applyAlignment="1">
      <x:alignment vertical="top" wrapText="1"/>
    </x:xf>
    <x:xf numFmtId="0" fontId="11" fillId="5" borderId="11" xfId="0" applyNumberFormat="1" applyFont="1" applyFill="1" applyBorder="1" applyAlignment="1">
      <x:alignment vertical="top" wrapText="1"/>
    </x:xf>
    <x:xf numFmtId="204" fontId="8" fillId="0" borderId="0" xfId="0" applyNumberFormat="1" applyFont="1" applyFill="1" applyBorder="1"/>
    <x:xf numFmtId="0" fontId="7" fillId="2" borderId="4" xfId="0" applyNumberFormat="1" applyFont="1" applyFill="1" applyBorder="1"/>
    <x:xf numFmtId="0" fontId="8" fillId="0" borderId="2" xfId="0" applyNumberFormat="1" applyFont="1" applyFill="1" applyBorder="1"/>
    <x:xf numFmtId="203" fontId="8" fillId="0" borderId="2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1443A"/>
      </x:font>
      <x:fill>
        <x:patternFill patternType="solid">
          <x:bgColor rgb="FFDDEDE5"/>
        </x:patternFill>
      </x:fill>
    </x:dxf>
    <x:dxf>
      <x:font>
        <x:color rgb="FF6D716B"/>
      </x:font>
      <x:fill>
        <x:patternFill patternType="solid">
          <x:bgColor rgb="FFF3EFE7"/>
        </x:patternFill>
      </x:fill>
    </x:dxf>
    <x:dxf>
      <x:font>
        <x:b/>
        <x:color rgb="FF21443A"/>
      </x:font>
      <x:fill>
        <x:patternFill patternType="solid">
          <x:bgColor rgb="FFDDEDE5"/>
        </x:patternFill>
      </x:fill>
    </x:dxf>
    <x:dxf>
      <x:font>
        <x:b/>
        <x:color rgb="FFA53B3F"/>
      </x:font>
      <x:fill>
        <x:patternFill patternType="solid">
          <x:bgColor rgb="FFF6DDDD"/>
        </x:patternFill>
      </x:fill>
    </x:dxf>
    <x:dxf>
      <x:font>
        <x:color rgb="FF21443A"/>
      </x:font>
      <x:fill>
        <x:patternFill patternType="solid">
          <x:bgColor rgb="FFDDEDE5"/>
        </x:patternFill>
      </x:fill>
    </x:dxf>
    <x:dxf>
      <x:font>
        <x:b/>
        <x:color rgb="FFA53B3F"/>
      </x:font>
      <x:fill>
        <x:patternFill patternType="solid">
          <x:bgColor rgb="FFF6DD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0de958c61489b" /><Relationship Type="http://schemas.openxmlformats.org/officeDocument/2006/relationships/theme" Target="/xl/theme/theme1.xml" Id="R4e8f34fd16a44e45" /><Relationship Type="http://schemas.openxmlformats.org/officeDocument/2006/relationships/sharedStrings" Target="/xl/sharedStrings.xml" Id="R6ee38229a58c469b" /><Relationship Type="http://schemas.openxmlformats.org/officeDocument/2006/relationships/worksheet" Target="/xl/worksheets/sheet1.xml" Id="R81cc19aa413f41e1" /><Relationship Type="http://schemas.openxmlformats.org/officeDocument/2006/relationships/worksheet" Target="/xl/worksheets/sheet2.xml" Id="R911dd0d9cfc14d48" /><Relationship Type="http://schemas.openxmlformats.org/officeDocument/2006/relationships/worksheet" Target="/xl/worksheets/sheet3.xml" Id="R67961597db544100" /></Relationships>
</file>

<file path=xl/tables/table1.xml><?xml version="1.0" encoding="utf-8"?>
<x:table xmlns:x="http://schemas.openxmlformats.org/spreadsheetml/2006/main" id="1" name="FuncionesTable" displayName="FuncionesTable" ref="A1:N235" headerRowCount="1" totalsRowCount="0" totalsRowShown="0">
  <x:autoFilter ref="A1:N235"/>
  <x:tableColumns count="14">
    <x:tableColumn id="1" name="Película"/>
    <x:tableColumn id="2" name="Recinto"/>
    <x:tableColumn id="3" name="Clave película"/>
    <x:tableColumn id="4" name="Clave recinto"/>
    <x:tableColumn id="5" name="Fecha"/>
    <x:tableColumn id="6" name="Hora"/>
    <x:tableColumn id="7" name="Inicio UTC"/>
    <x:tableColumn id="8" name="Zona horaria"/>
    <x:tableColumn id="9" name="Tipo fuente"/>
    <x:tableColumn id="10" name="URL fuente"/>
    <x:tableColumn id="11" name="ID fuente"/>
    <x:tableColumn id="12" name="Capturado UTC"/>
    <x:tableColumn id="13" name="Clave duplicado"/>
    <x:tableColumn id="14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entesTable" displayName="FuentesTable" ref="A1:J12" headerRowCount="1" totalsRowCount="0" totalsRowShown="0">
  <x:autoFilter ref="A1:J12"/>
  <x:tableColumns count="10">
    <x:tableColumn id="1" name="ID"/>
    <x:tableColumn id="2" name="Nombre"/>
    <x:tableColumn id="3" name="Tipo"/>
    <x:tableColumn id="4" name="URL"/>
    <x:tableColumn id="5" name="Estado"/>
    <x:tableColumn id="6" name="Registros crudos"/>
    <x:tableColumn id="7" name="Aceptados"/>
    <x:tableColumn id="8" name="Rechazados"/>
    <x:tableColumn id="9" name="Duplicados"/>
    <x:tableColumn id="10" name="Err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a0ed25db6945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b5610f30d94b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18" hidden="0" customWidth="1"/>
    <x:col min="4" max="4" width="18" hidden="0" customWidth="1"/>
    <x:col min="5" max="5" width="3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81" t="str">
        <x:v>Cartelera consolidada · Scrapers</x:v>
      </x:c>
      <x:c r="B1" s="81"/>
      <x:c r="C1" s="81"/>
      <x:c r="D1" s="81"/>
      <x:c r="E1" s="81"/>
      <x:c r="F1" s="81"/>
      <x:c r="G1" s="81"/>
      <x:c r="H1" s="81"/>
    </x:row>
    <x:row r="2" ht="28" customHeight="1">
      <x:c r="A2" s="81"/>
      <x:c r="B2" s="81"/>
      <x:c r="C2" s="81"/>
      <x:c r="D2" s="81"/>
      <x:c r="E2" s="81"/>
      <x:c r="F2" s="81"/>
      <x:c r="G2" s="81"/>
      <x:c r="H2" s="81"/>
    </x:row>
    <x:row r="3">
      <x:c r="A3" s="82"/>
      <x:c r="B3" s="82"/>
      <x:c r="C3" s="82"/>
      <x:c r="D3" s="82"/>
      <x:c r="E3" s="82"/>
      <x:c r="F3" s="82"/>
      <x:c r="G3" s="82"/>
      <x:c r="H3" s="82"/>
    </x:row>
    <x:row r="4" ht="30" customHeight="1">
      <x:c r="A4" s="83" t="str">
        <x:v>Funciones procesadas</x:v>
      </x:c>
      <x:c r="B4" s="83" t="str">
        <x:v>Funciones próximas</x:v>
      </x:c>
      <x:c r="C4" s="83" t="str">
        <x:v>Fuentes correctas</x:v>
      </x:c>
      <x:c r="D4" s="83" t="str">
        <x:v>Fuentes con error</x:v>
      </x:c>
      <x:c r="E4" s="82"/>
      <x:c r="F4" s="84" t="str">
        <x:v>Notas de calidad</x:v>
      </x:c>
      <x:c r="G4" s="84"/>
      <x:c r="H4" s="84"/>
    </x:row>
    <x:row r="5" ht="34" customHeight="1">
      <x:c r="A5" s="85" t="n">
        <x:f>COUNTA('Funciones'!$A$2:$A$235)</x:f>
        <x:v>234</x:v>
      </x:c>
      <x:c r="B5" s="86" t="n">
        <x:f>COUNTIF('Funciones'!$E$2:$E$235,"&gt;="&amp;$B$8)</x:f>
        <x:v>145</x:v>
      </x:c>
      <x:c r="C5" s="86" t="n">
        <x:f>COUNTIF('Fuentes'!$E$2:$E$12,"Correcto")</x:f>
        <x:v>10</x:v>
      </x:c>
      <x:c r="D5" s="87" t="n">
        <x:f>COUNTIF('Fuentes'!$E$2:$E$12,"Falló")</x:f>
        <x:v>1</x:v>
      </x:c>
      <x:c r="E5" s="82"/>
      <x:c r="F5" s="88" t="str">
        <x:v>10 de 11 fuentes respondieron. Cine UC devolvió HTTP 403. Passline Alameda y Goethe Chile respondieron sin funciones vigentes. No hubo registros rechazados ni duplicados.</x:v>
      </x:c>
      <x:c r="G5" s="89"/>
      <x:c r="H5" s="90"/>
    </x:row>
    <x:row r="6">
      <x:c r="A6" s="82"/>
      <x:c r="B6" s="82"/>
      <x:c r="C6" s="82"/>
      <x:c r="D6" s="82"/>
      <x:c r="E6" s="82"/>
      <x:c r="F6" s="91"/>
      <x:c r="G6" s="92"/>
      <x:c r="H6" s="93"/>
    </x:row>
    <x:row r="7">
      <x:c r="A7" s="94" t="str">
        <x:v>Inicio de ejecución</x:v>
      </x:c>
      <x:c r="B7" s="95" t="n">
        <x:v>46245.634857592595</x:v>
      </x:c>
      <x:c r="C7" s="82"/>
      <x:c r="D7" s="82"/>
      <x:c r="E7" s="82"/>
      <x:c r="F7" s="91"/>
      <x:c r="G7" s="92"/>
      <x:c r="H7" s="93"/>
    </x:row>
    <x:row r="8">
      <x:c r="A8" s="94" t="str">
        <x:v>Fecha de referencia</x:v>
      </x:c>
      <x:c r="B8" s="96" t="n">
        <x:v>46245.5</x:v>
      </x:c>
      <x:c r="C8" s="82"/>
      <x:c r="D8" s="82"/>
      <x:c r="E8" s="82"/>
      <x:c r="F8" s="97"/>
      <x:c r="G8" s="98"/>
      <x:c r="H8" s="99"/>
    </x:row>
    <x:row r="9">
      <x:c r="A9" s="94" t="str">
        <x:v>Fin de ejecución</x:v>
      </x:c>
      <x:c r="B9" s="95" t="n">
        <x:v>46245.63542795139</x:v>
      </x:c>
      <x:c r="C9" s="82"/>
      <x:c r="D9" s="82"/>
      <x:c r="E9" s="82"/>
      <x:c r="F9" s="82"/>
      <x:c r="G9" s="82"/>
      <x:c r="H9" s="82"/>
    </x:row>
    <x:row r="10">
      <x:c r="A10" s="94" t="str">
        <x:v>Tasa de aceptación</x:v>
      </x:c>
      <x:c r="B10" s="100" t="n">
        <x:f>SUM('Fuentes'!$G$2:$G$12)/MAX(1,SUM('Fuentes'!$F$2:$F$12))</x:f>
        <x:v>1</x:v>
      </x:c>
      <x:c r="C10" s="82"/>
      <x:c r="D10" s="82"/>
      <x:c r="E10" s="82"/>
      <x:c r="F10" s="82"/>
      <x:c r="G10" s="82"/>
      <x:c r="H10" s="82"/>
    </x:row>
    <x:row r="11">
      <x:c r="A11" s="82"/>
      <x:c r="B11" s="82"/>
      <x:c r="C11" s="82"/>
      <x:c r="D11" s="82"/>
      <x:c r="E11" s="82"/>
      <x:c r="F11" s="82"/>
      <x:c r="G11" s="82"/>
      <x:c r="H11" s="82"/>
    </x:row>
    <x:row r="12" ht="26" customHeight="1">
      <x:c r="A12" s="101" t="str">
        <x:v>Fuente</x:v>
      </x:c>
      <x:c r="B12" s="101" t="str">
        <x:v>Estado</x:v>
      </x:c>
      <x:c r="C12" s="101" t="str">
        <x:v>Registros</x:v>
      </x:c>
      <x:c r="D12" s="101" t="str">
        <x:v>Aceptados</x:v>
      </x:c>
      <x:c r="E12" s="82"/>
      <x:c r="F12" s="82"/>
      <x:c r="G12" s="82"/>
      <x:c r="H12" s="82"/>
    </x:row>
    <x:row r="13">
      <x:c r="A13" s="102" t="str">
        <x:f>'Fuentes'!B2</x:f>
        <x:v>Cine Arte Normandie</x:v>
      </x:c>
      <x:c r="B13" s="102" t="str">
        <x:f>'Fuentes'!E2</x:f>
        <x:v>Correcto</x:v>
      </x:c>
      <x:c r="C13" s="103" t="n">
        <x:f>'Fuentes'!F2</x:f>
        <x:v>41</x:v>
      </x:c>
      <x:c r="D13" s="103" t="n">
        <x:f>'Fuentes'!G2</x:f>
        <x:v>41</x:v>
      </x:c>
      <x:c r="E13" s="82"/>
      <x:c r="F13" s="82"/>
      <x:c r="G13" s="82"/>
      <x:c r="H13" s="82"/>
    </x:row>
    <x:row r="14">
      <x:c r="A14" s="102" t="str">
        <x:f>'Fuentes'!B3</x:f>
        <x:v>Centro Arte Alameda - Passline</x:v>
      </x:c>
      <x:c r="B14" s="102" t="str">
        <x:f>'Fuentes'!E3</x:f>
        <x:v>Correcto</x:v>
      </x:c>
      <x:c r="C14" s="103" t="n">
        <x:f>'Fuentes'!F3</x:f>
        <x:v>0</x:v>
      </x:c>
      <x:c r="D14" s="103" t="n">
        <x:f>'Fuentes'!G3</x:f>
        <x:v>0</x:v>
      </x:c>
      <x:c r="E14" s="82"/>
      <x:c r="F14" s="82"/>
      <x:c r="G14" s="82"/>
      <x:c r="H14" s="82"/>
    </x:row>
    <x:row r="15">
      <x:c r="A15" s="102" t="str">
        <x:f>'Fuentes'!B4</x:f>
        <x:v>El Biógrafo</x:v>
      </x:c>
      <x:c r="B15" s="102" t="str">
        <x:f>'Fuentes'!E4</x:f>
        <x:v>Correcto</x:v>
      </x:c>
      <x:c r="C15" s="103" t="n">
        <x:f>'Fuentes'!F4</x:f>
        <x:v>21</x:v>
      </x:c>
      <x:c r="D15" s="103" t="n">
        <x:f>'Fuentes'!G4</x:f>
        <x:v>21</x:v>
      </x:c>
      <x:c r="E15" s="82"/>
      <x:c r="F15" s="82"/>
      <x:c r="G15" s="82"/>
      <x:c r="H15" s="82"/>
    </x:row>
    <x:row r="16">
      <x:c r="A16" s="102" t="str">
        <x:f>'Fuentes'!B5</x:f>
        <x:v>Sala K</x:v>
      </x:c>
      <x:c r="B16" s="102" t="str">
        <x:f>'Fuentes'!E5</x:f>
        <x:v>Correcto</x:v>
      </x:c>
      <x:c r="C16" s="103" t="n">
        <x:f>'Fuentes'!F5</x:f>
        <x:v>20</x:v>
      </x:c>
      <x:c r="D16" s="103" t="n">
        <x:f>'Fuentes'!G5</x:f>
        <x:v>20</x:v>
      </x:c>
      <x:c r="E16" s="82"/>
      <x:c r="F16" s="82"/>
      <x:c r="G16" s="82"/>
      <x:c r="H16" s="82"/>
    </x:row>
    <x:row r="17">
      <x:c r="A17" s="102" t="str">
        <x:f>'Fuentes'!B6</x:f>
        <x:v>Sala Nemesio - Ticketplus</x:v>
      </x:c>
      <x:c r="B17" s="102" t="str">
        <x:f>'Fuentes'!E6</x:f>
        <x:v>Correcto</x:v>
      </x:c>
      <x:c r="C17" s="103" t="n">
        <x:f>'Fuentes'!F6</x:f>
        <x:v>18</x:v>
      </x:c>
      <x:c r="D17" s="103" t="n">
        <x:f>'Fuentes'!G6</x:f>
        <x:v>18</x:v>
      </x:c>
      <x:c r="E17" s="82"/>
      <x:c r="F17" s="82"/>
      <x:c r="G17" s="82"/>
      <x:c r="H17" s="82"/>
    </x:row>
    <x:row r="18">
      <x:c r="A18" s="102" t="str">
        <x:f>'Fuentes'!B7</x:f>
        <x:v>Cine CCC - Ecopass</x:v>
      </x:c>
      <x:c r="B18" s="102" t="str">
        <x:f>'Fuentes'!E7</x:f>
        <x:v>Correcto</x:v>
      </x:c>
      <x:c r="C18" s="103" t="n">
        <x:f>'Fuentes'!F7</x:f>
        <x:v>12</x:v>
      </x:c>
      <x:c r="D18" s="103" t="n">
        <x:f>'Fuentes'!G7</x:f>
        <x:v>12</x:v>
      </x:c>
      <x:c r="E18" s="82"/>
      <x:c r="F18" s="82"/>
      <x:c r="G18" s="82"/>
      <x:c r="H18" s="82"/>
    </x:row>
    <x:row r="19">
      <x:c r="A19" s="102" t="str">
        <x:f>'Fuentes'!B8</x:f>
        <x:v>Matucana 100</x:v>
      </x:c>
      <x:c r="B19" s="102" t="str">
        <x:f>'Fuentes'!E8</x:f>
        <x:v>Correcto</x:v>
      </x:c>
      <x:c r="C19" s="103" t="n">
        <x:f>'Fuentes'!F8</x:f>
        <x:v>39</x:v>
      </x:c>
      <x:c r="D19" s="103" t="n">
        <x:f>'Fuentes'!G8</x:f>
        <x:v>39</x:v>
      </x:c>
      <x:c r="E19" s="82"/>
      <x:c r="F19" s="82"/>
      <x:c r="G19" s="82"/>
      <x:c r="H19" s="82"/>
    </x:row>
    <x:row r="20">
      <x:c r="A20" s="102" t="str">
        <x:f>'Fuentes'!B9</x:f>
        <x:v>Goethe-Institut Chile</x:v>
      </x:c>
      <x:c r="B20" s="102" t="str">
        <x:f>'Fuentes'!E9</x:f>
        <x:v>Correcto</x:v>
      </x:c>
      <x:c r="C20" s="103" t="n">
        <x:f>'Fuentes'!F9</x:f>
        <x:v>0</x:v>
      </x:c>
      <x:c r="D20" s="103" t="n">
        <x:f>'Fuentes'!G9</x:f>
        <x:v>0</x:v>
      </x:c>
      <x:c r="E20" s="82"/>
      <x:c r="F20" s="82"/>
      <x:c r="G20" s="82"/>
      <x:c r="H20" s="82"/>
    </x:row>
    <x:row r="21">
      <x:c r="A21" s="102" t="str">
        <x:f>'Fuentes'!B10</x:f>
        <x:v>Cineteca Nacional de Chile</x:v>
      </x:c>
      <x:c r="B21" s="102" t="str">
        <x:f>'Fuentes'!E10</x:f>
        <x:v>Correcto</x:v>
      </x:c>
      <x:c r="C21" s="103" t="n">
        <x:f>'Fuentes'!F10</x:f>
        <x:v>53</x:v>
      </x:c>
      <x:c r="D21" s="103" t="n">
        <x:f>'Fuentes'!G10</x:f>
        <x:v>53</x:v>
      </x:c>
      <x:c r="E21" s="82"/>
      <x:c r="F21" s="82"/>
      <x:c r="G21" s="82"/>
      <x:c r="H21" s="82"/>
    </x:row>
    <x:row r="22">
      <x:c r="A22" s="102" t="str">
        <x:f>'Fuentes'!B11</x:f>
        <x:v>Cine UC</x:v>
      </x:c>
      <x:c r="B22" s="102" t="str">
        <x:f>'Fuentes'!E11</x:f>
        <x:v>Falló</x:v>
      </x:c>
      <x:c r="C22" s="103" t="n">
        <x:f>'Fuentes'!F11</x:f>
        <x:v>0</x:v>
      </x:c>
      <x:c r="D22" s="103" t="n">
        <x:f>'Fuentes'!G11</x:f>
        <x:v>0</x:v>
      </x:c>
      <x:c r="E22" s="82"/>
      <x:c r="F22" s="82"/>
      <x:c r="G22" s="82"/>
      <x:c r="H22" s="82"/>
    </x:row>
    <x:row r="23">
      <x:c r="A23" s="102" t="str">
        <x:f>'Fuentes'!B12</x:f>
        <x:v>Duoc UC A Puertas Abiertas</x:v>
      </x:c>
      <x:c r="B23" s="102" t="str">
        <x:f>'Fuentes'!E12</x:f>
        <x:v>Correcto</x:v>
      </x:c>
      <x:c r="C23" s="103" t="n">
        <x:f>'Fuentes'!F12</x:f>
        <x:v>30</x:v>
      </x:c>
      <x:c r="D23" s="103" t="n">
        <x:f>'Fuentes'!G12</x:f>
        <x:v>30</x:v>
      </x:c>
      <x:c r="E23" s="82"/>
      <x:c r="F23" s="82"/>
      <x:c r="G23" s="82"/>
      <x:c r="H23" s="82"/>
    </x:row>
    <x:row r="24">
      <x:c r="A24" s="82"/>
      <x:c r="B24" s="82"/>
      <x:c r="C24" s="82"/>
      <x:c r="D24" s="82"/>
      <x:c r="E24" s="82"/>
      <x:c r="F24" s="82"/>
      <x:c r="G24" s="82"/>
      <x:c r="H24" s="82"/>
    </x:row>
    <x:row r="25" ht="28" customHeight="1">
      <x:c r="A25" s="104" t="str">
        <x:v>Fuente: ejecución del scraper capturada el 11 de agosto de 2026. Las URLs originales están disponibles en las hojas Funciones y Fuentes.</x:v>
      </x:c>
      <x:c r="B25" s="104"/>
      <x:c r="C25" s="104"/>
      <x:c r="D25" s="104"/>
      <x:c r="E25" s="104"/>
      <x:c r="F25" s="104"/>
      <x:c r="G25" s="104"/>
      <x:c r="H25" s="104"/>
    </x:row>
  </x:sheetData>
  <x:mergeCells>
    <x:mergeCell ref="A1:H2"/>
    <x:mergeCell ref="F4:H4"/>
    <x:mergeCell ref="F5:H8"/>
    <x:mergeCell ref="A25:H25"/>
  </x:mergeCells>
  <x:conditionalFormatting sqref="B13:B23">
    <x:cfRule type="containsText" dxfId="4" priority="1" operator="containsText" text="Correcto"/>
    <x:cfRule type="containsText" dxfId="5" priority="2" operator="containsText" text="Falló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24" hidden="0" customWidth="1"/>
    <x:col min="4" max="4" width="30" hidden="0" customWidth="1"/>
    <x:col min="5" max="5" width="12" hidden="0" customWidth="1"/>
    <x:col min="6" max="6" width="10" hidden="0" customWidth="1"/>
    <x:col min="7" max="7" width="20" hidden="0" customWidth="1"/>
    <x:col min="8" max="8" width="18" hidden="0" customWidth="1"/>
    <x:col min="9" max="9" width="13" hidden="0" customWidth="1"/>
    <x:col min="10" max="10" width="42" hidden="0" customWidth="1"/>
    <x:col min="11" max="11" width="46" hidden="0" customWidth="1"/>
    <x:col min="12" max="12" width="20" hidden="0" customWidth="1"/>
    <x:col min="13" max="13" width="50" hidden="0" customWidth="1"/>
    <x:col min="14" max="14" width="12" hidden="0" customWidth="1"/>
  </x:cols>
  <x:sheetData>
    <x:row r="1" ht="28" customHeight="1">
      <x:c r="A1" s="4" t="str">
        <x:v>Película</x:v>
      </x:c>
      <x:c r="B1" s="4" t="str">
        <x:v>Recinto</x:v>
      </x:c>
      <x:c r="C1" s="4" t="str">
        <x:v>Clave película</x:v>
      </x:c>
      <x:c r="D1" s="4" t="str">
        <x:v>Clave recinto</x:v>
      </x:c>
      <x:c r="E1" s="4" t="str">
        <x:v>Fecha</x:v>
      </x:c>
      <x:c r="F1" s="4" t="str">
        <x:v>Hora</x:v>
      </x:c>
      <x:c r="G1" s="4" t="str">
        <x:v>Inicio UTC</x:v>
      </x:c>
      <x:c r="H1" s="4" t="str">
        <x:v>Zona horaria</x:v>
      </x:c>
      <x:c r="I1" s="4" t="str">
        <x:v>Tipo fuente</x:v>
      </x:c>
      <x:c r="J1" s="4" t="str">
        <x:v>URL fuente</x:v>
      </x:c>
      <x:c r="K1" s="4" t="str">
        <x:v>ID fuente</x:v>
      </x:c>
      <x:c r="L1" s="4" t="str">
        <x:v>Capturado UTC</x:v>
      </x:c>
      <x:c r="M1" s="4" t="str">
        <x:v>Clave duplicado</x:v>
      </x:c>
      <x:c r="N1" s="4" t="str">
        <x:v>Estado</x:v>
      </x:c>
    </x:row>
    <x:row r="2">
      <x:c r="A2" s="12" t="str">
        <x:v>La dama desaparece</x:v>
      </x:c>
      <x:c r="B2" s="12" t="str">
        <x:v>Cine Arte Normandie</x:v>
      </x:c>
      <x:c r="C2" s="8" t="str">
        <x:v>la-dama-desaparece</x:v>
      </x:c>
      <x:c r="D2" s="8" t="str">
        <x:v>cine-arte-normandie</x:v>
      </x:c>
      <x:c r="E2" s="9" t="n">
        <x:v>46240.5</x:v>
      </x:c>
      <x:c r="F2" s="10" t="n">
        <x:v>0.625</x:v>
      </x:c>
      <x:c r="G2" s="11" t="n">
        <x:v>46240.791666666664</x:v>
      </x:c>
      <x:c r="H2" s="8" t="str">
        <x:v>America/Santiago</x:v>
      </x:c>
      <x:c r="I2" s="8" t="str">
        <x:v>website</x:v>
      </x:c>
      <x:c r="J2" s="12" t="str">
        <x:v>https://www.flow.cl/btn.php?token=r4a73f5626183e894b0c1f3469418b44a35f5758</x:v>
      </x:c>
      <x:c r="K2" s="12" t="str">
        <x:v>https://www.flow.cl/btn.php?token=r4a73f5626183e894b0c1f3469418b44a35f5758#2026-08-06T15:00</x:v>
      </x:c>
      <x:c r="L2" s="13" t="n">
        <x:v>46245.63486677083</x:v>
      </x:c>
      <x:c r="M2" s="12" t="str">
        <x:v>la-dama-desaparece:cine-arte-normandie:2026-08-06T19:00:00.000Z</x:v>
      </x:c>
      <x:c r="N2" s="8" t="str">
        <x:f>IF(E2&gt;='Resumen'!$B$8,"Próxima","Pasada")</x:f>
        <x:v>Pasada</x:v>
      </x:c>
    </x:row>
    <x:row r="3">
      <x:c r="A3" s="12" t="str">
        <x:v>El día D: Bajo presión</x:v>
      </x:c>
      <x:c r="B3" s="12" t="str">
        <x:v>Cine Arte Normandie</x:v>
      </x:c>
      <x:c r="C3" s="8" t="str">
        <x:v>el-dia-d-bajo-presion</x:v>
      </x:c>
      <x:c r="D3" s="8" t="str">
        <x:v>cine-arte-normandie</x:v>
      </x:c>
      <x:c r="E3" s="9" t="n">
        <x:v>46240.5</x:v>
      </x:c>
      <x:c r="F3" s="10" t="n">
        <x:v>0.7083333333333334</x:v>
      </x:c>
      <x:c r="G3" s="11" t="n">
        <x:v>46240.875</x:v>
      </x:c>
      <x:c r="H3" s="8" t="str">
        <x:v>America/Santiago</x:v>
      </x:c>
      <x:c r="I3" s="8" t="str">
        <x:v>website</x:v>
      </x:c>
      <x:c r="J3" s="12" t="str">
        <x:v>https://www.flow.cl/btn.php?token=wbqokvn</x:v>
      </x:c>
      <x:c r="K3" s="12" t="str">
        <x:v>https://www.flow.cl/btn.php?token=wbqokvn#2026-08-06T17:00</x:v>
      </x:c>
      <x:c r="L3" s="13" t="n">
        <x:v>46245.63486677083</x:v>
      </x:c>
      <x:c r="M3" s="12" t="str">
        <x:v>el-dia-d-bajo-presion:cine-arte-normandie:2026-08-06T21:00:00.000Z</x:v>
      </x:c>
      <x:c r="N3" s="8" t="str">
        <x:f>IF(E3&gt;='Resumen'!$B$8,"Próxima","Pasada")</x:f>
        <x:v>Pasada</x:v>
      </x:c>
    </x:row>
    <x:row r="4">
      <x:c r="A4" s="12" t="str">
        <x:v>El exorcista (Corte del director)</x:v>
      </x:c>
      <x:c r="B4" s="12" t="str">
        <x:v>Cine Arte Normandie</x:v>
      </x:c>
      <x:c r="C4" s="8" t="str">
        <x:v>el-exorcista-corte-del-director</x:v>
      </x:c>
      <x:c r="D4" s="8" t="str">
        <x:v>cine-arte-normandie</x:v>
      </x:c>
      <x:c r="E4" s="9" t="n">
        <x:v>46240.5</x:v>
      </x:c>
      <x:c r="F4" s="10" t="n">
        <x:v>0.7916666666666666</x:v>
      </x:c>
      <x:c r="G4" s="11" t="n">
        <x:v>46240.958333333336</x:v>
      </x:c>
      <x:c r="H4" s="8" t="str">
        <x:v>America/Santiago</x:v>
      </x:c>
      <x:c r="I4" s="8" t="str">
        <x:v>website</x:v>
      </x:c>
      <x:c r="J4" s="12" t="str">
        <x:v>https://www.flow.cl/btn.php?token=csd3xbv</x:v>
      </x:c>
      <x:c r="K4" s="12" t="str">
        <x:v>https://www.flow.cl/btn.php?token=csd3xbv#2026-08-06T19:00</x:v>
      </x:c>
      <x:c r="L4" s="13" t="n">
        <x:v>46245.63486677083</x:v>
      </x:c>
      <x:c r="M4" s="12" t="str">
        <x:v>el-exorcista-corte-del-director:cine-arte-normandie:2026-08-06T23:00:00.000Z</x:v>
      </x:c>
      <x:c r="N4" s="8" t="str">
        <x:f>IF(E4&gt;='Resumen'!$B$8,"Próxima","Pasada")</x:f>
        <x:v>Pasada</x:v>
      </x:c>
    </x:row>
    <x:row r="5">
      <x:c r="A5" s="12" t="str">
        <x:v>500 días con Summer</x:v>
      </x:c>
      <x:c r="B5" s="12" t="str">
        <x:v>Cine Arte Normandie</x:v>
      </x:c>
      <x:c r="C5" s="8" t="str">
        <x:v>500-dias-con-summer</x:v>
      </x:c>
      <x:c r="D5" s="8" t="str">
        <x:v>cine-arte-normandie</x:v>
      </x:c>
      <x:c r="E5" s="9" t="n">
        <x:v>46241.5</x:v>
      </x:c>
      <x:c r="F5" s="10" t="n">
        <x:v>0.625</x:v>
      </x:c>
      <x:c r="G5" s="11" t="n">
        <x:v>46241.791666666664</x:v>
      </x:c>
      <x:c r="H5" s="8" t="str">
        <x:v>America/Santiago</x:v>
      </x:c>
      <x:c r="I5" s="8" t="str">
        <x:v>website</x:v>
      </x:c>
      <x:c r="J5" s="12" t="str">
        <x:v>https://www.flow.cl/btn.php?token=lef89f33c76e6a51b64514db005fe90f6b8bfd1f</x:v>
      </x:c>
      <x:c r="K5" s="12" t="str">
        <x:v>https://www.flow.cl/btn.php?token=lef89f33c76e6a51b64514db005fe90f6b8bfd1f#2026-08-07T15:00</x:v>
      </x:c>
      <x:c r="L5" s="13" t="n">
        <x:v>46245.63486677083</x:v>
      </x:c>
      <x:c r="M5" s="12" t="str">
        <x:v>500-dias-con-summer:cine-arte-normandie:2026-08-07T19:00:00.000Z</x:v>
      </x:c>
      <x:c r="N5" s="8" t="str">
        <x:f>IF(E5&gt;='Resumen'!$B$8,"Próxima","Pasada")</x:f>
        <x:v>Pasada</x:v>
      </x:c>
    </x:row>
    <x:row r="6">
      <x:c r="A6" s="12" t="str">
        <x:v>La invitación</x:v>
      </x:c>
      <x:c r="B6" s="12" t="str">
        <x:v>Cine Arte Normandie</x:v>
      </x:c>
      <x:c r="C6" s="8" t="str">
        <x:v>la-invitacion</x:v>
      </x:c>
      <x:c r="D6" s="8" t="str">
        <x:v>cine-arte-normandie</x:v>
      </x:c>
      <x:c r="E6" s="9" t="n">
        <x:v>46241.5</x:v>
      </x:c>
      <x:c r="F6" s="10" t="n">
        <x:v>0.7013888888888888</x:v>
      </x:c>
      <x:c r="G6" s="11" t="n">
        <x:v>46241.868055555555</x:v>
      </x:c>
      <x:c r="H6" s="8" t="str">
        <x:v>America/Santiago</x:v>
      </x:c>
      <x:c r="I6" s="8" t="str">
        <x:v>website</x:v>
      </x:c>
      <x:c r="J6" s="12" t="str">
        <x:v>https://www.flow.cl/btn.php?token=iksedbu</x:v>
      </x:c>
      <x:c r="K6" s="12" t="str">
        <x:v>https://www.flow.cl/btn.php?token=iksedbu#2026-08-07T16:50</x:v>
      </x:c>
      <x:c r="L6" s="13" t="n">
        <x:v>46245.63486677083</x:v>
      </x:c>
      <x:c r="M6" s="12" t="str">
        <x:v>la-invitacion:cine-arte-normandie:2026-08-07T20:50:00.000Z</x:v>
      </x:c>
      <x:c r="N6" s="8" t="str">
        <x:f>IF(E6&gt;='Resumen'!$B$8,"Próxima","Pasada")</x:f>
        <x:v>Pasada</x:v>
      </x:c>
    </x:row>
    <x:row r="7">
      <x:c r="A7" s="12" t="str">
        <x:v>The Doors</x:v>
      </x:c>
      <x:c r="B7" s="12" t="str">
        <x:v>Cine Arte Normandie</x:v>
      </x:c>
      <x:c r="C7" s="8" t="str">
        <x:v>the-doors</x:v>
      </x:c>
      <x:c r="D7" s="8" t="str">
        <x:v>cine-arte-normandie</x:v>
      </x:c>
      <x:c r="E7" s="9" t="n">
        <x:v>46241.5</x:v>
      </x:c>
      <x:c r="F7" s="10" t="n">
        <x:v>0.8125</x:v>
      </x:c>
      <x:c r="G7" s="11" t="n">
        <x:v>46241.979166666664</x:v>
      </x:c>
      <x:c r="H7" s="8" t="str">
        <x:v>America/Santiago</x:v>
      </x:c>
      <x:c r="I7" s="8" t="str">
        <x:v>website</x:v>
      </x:c>
      <x:c r="J7" s="12" t="str">
        <x:v>https://www.flow.cl/btn.php?token=kw5awqk</x:v>
      </x:c>
      <x:c r="K7" s="12" t="str">
        <x:v>https://www.flow.cl/btn.php?token=kw5awqk#2026-08-07T19:30</x:v>
      </x:c>
      <x:c r="L7" s="13" t="n">
        <x:v>46245.63486677083</x:v>
      </x:c>
      <x:c r="M7" s="12" t="str">
        <x:v>the-doors:cine-arte-normandie:2026-08-07T23:30:00.000Z</x:v>
      </x:c>
      <x:c r="N7" s="8" t="str">
        <x:f>IF(E7&gt;='Resumen'!$B$8,"Próxima","Pasada")</x:f>
        <x:v>Pasada</x:v>
      </x:c>
    </x:row>
    <x:row r="8">
      <x:c r="A8" s="12" t="str">
        <x:v>Diamanti</x:v>
      </x:c>
      <x:c r="B8" s="12" t="str">
        <x:v>Cine Arte Normandie</x:v>
      </x:c>
      <x:c r="C8" s="8" t="str">
        <x:v>diamanti</x:v>
      </x:c>
      <x:c r="D8" s="8" t="str">
        <x:v>cine-arte-normandie</x:v>
      </x:c>
      <x:c r="E8" s="9" t="n">
        <x:v>46242.5</x:v>
      </x:c>
      <x:c r="F8" s="10" t="n">
        <x:v>0.7534722222222222</x:v>
      </x:c>
      <x:c r="G8" s="11" t="n">
        <x:v>46242.92013888889</x:v>
      </x:c>
      <x:c r="H8" s="8" t="str">
        <x:v>America/Santiago</x:v>
      </x:c>
      <x:c r="I8" s="8" t="str">
        <x:v>website</x:v>
      </x:c>
      <x:c r="J8" s="12" t="str">
        <x:v>https://www.flow.cl/btn.php?token=ke7b3eae889542100f1881635faffd3a2f8dbf70</x:v>
      </x:c>
      <x:c r="K8" s="12" t="str">
        <x:v>https://www.flow.cl/btn.php?token=ke7b3eae889542100f1881635faffd3a2f8dbf70#2026-08-08T18:05</x:v>
      </x:c>
      <x:c r="L8" s="13" t="n">
        <x:v>46245.63486677083</x:v>
      </x:c>
      <x:c r="M8" s="12" t="str">
        <x:v>diamanti:cine-arte-normandie:2026-08-08T22:05:00.000Z</x:v>
      </x:c>
      <x:c r="N8" s="8" t="str">
        <x:f>IF(E8&gt;='Resumen'!$B$8,"Próxima","Pasada")</x:f>
        <x:v>Pasada</x:v>
      </x:c>
    </x:row>
    <x:row r="9">
      <x:c r="A9" s="12" t="str">
        <x:v>Leviticus: Ritual de sangre</x:v>
      </x:c>
      <x:c r="B9" s="12" t="str">
        <x:v>Cine Arte Normandie</x:v>
      </x:c>
      <x:c r="C9" s="8" t="str">
        <x:v>leviticus-ritual-de-sangre</x:v>
      </x:c>
      <x:c r="D9" s="8" t="str">
        <x:v>cine-arte-normandie</x:v>
      </x:c>
      <x:c r="E9" s="9" t="n">
        <x:v>46242.5</x:v>
      </x:c>
      <x:c r="F9" s="10" t="n">
        <x:v>0.8541666666666666</x:v>
      </x:c>
      <x:c r="G9" s="11" t="n">
        <x:v>46243.020833333336</x:v>
      </x:c>
      <x:c r="H9" s="8" t="str">
        <x:v>America/Santiago</x:v>
      </x:c>
      <x:c r="I9" s="8" t="str">
        <x:v>website</x:v>
      </x:c>
      <x:c r="J9" s="12" t="str">
        <x:v>https://www.flow.cl/btn.php?token=de067653b7c72b9857833903314b43a6803ff421</x:v>
      </x:c>
      <x:c r="K9" s="12" t="str">
        <x:v>https://www.flow.cl/btn.php?token=de067653b7c72b9857833903314b43a6803ff421#2026-08-08T20:30</x:v>
      </x:c>
      <x:c r="L9" s="13" t="n">
        <x:v>46245.63486677083</x:v>
      </x:c>
      <x:c r="M9" s="12" t="str">
        <x:v>leviticus-ritual-de-sangre:cine-arte-normandie:2026-08-09T00:30:00.000Z</x:v>
      </x:c>
      <x:c r="N9" s="8" t="str">
        <x:f>IF(E9&gt;='Resumen'!$B$8,"Próxima","Pasada")</x:f>
        <x:v>Pasada</x:v>
      </x:c>
    </x:row>
    <x:row r="10">
      <x:c r="A10" s="12" t="str">
        <x:v>La Odisea</x:v>
      </x:c>
      <x:c r="B10" s="12" t="str">
        <x:v>Cine Arte Normandie</x:v>
      </x:c>
      <x:c r="C10" s="8" t="str">
        <x:v>la-odisea</x:v>
      </x:c>
      <x:c r="D10" s="8" t="str">
        <x:v>cine-arte-normandie</x:v>
      </x:c>
      <x:c r="E10" s="9" t="n">
        <x:v>46243.5</x:v>
      </x:c>
      <x:c r="F10" s="10" t="n">
        <x:v>0.625</x:v>
      </x:c>
      <x:c r="G10" s="11" t="n">
        <x:v>46243.791666666664</x:v>
      </x:c>
      <x:c r="H10" s="8" t="str">
        <x:v>America/Santiago</x:v>
      </x:c>
      <x:c r="I10" s="8" t="str">
        <x:v>website</x:v>
      </x:c>
      <x:c r="J10" s="12" t="str">
        <x:v>https://www.flow.cl/btn.php?token=anexynr</x:v>
      </x:c>
      <x:c r="K10" s="12" t="str">
        <x:v>https://www.flow.cl/btn.php?token=anexynr#2026-08-09T15:00</x:v>
      </x:c>
      <x:c r="L10" s="13" t="n">
        <x:v>46245.63486677083</x:v>
      </x:c>
      <x:c r="M10" s="12" t="str">
        <x:v>la-odisea:cine-arte-normandie:2026-08-09T19:00:00.000Z</x:v>
      </x:c>
      <x:c r="N10" s="8" t="str">
        <x:f>IF(E10&gt;='Resumen'!$B$8,"Próxima","Pasada")</x:f>
        <x:v>Pasada</x:v>
      </x:c>
    </x:row>
    <x:row r="11">
      <x:c r="A11" s="12" t="str">
        <x:v>El día D: Bajo presión</x:v>
      </x:c>
      <x:c r="B11" s="12" t="str">
        <x:v>Cine Arte Normandie</x:v>
      </x:c>
      <x:c r="C11" s="8" t="str">
        <x:v>el-dia-d-bajo-presion</x:v>
      </x:c>
      <x:c r="D11" s="8" t="str">
        <x:v>cine-arte-normandie</x:v>
      </x:c>
      <x:c r="E11" s="9" t="n">
        <x:v>46243.5</x:v>
      </x:c>
      <x:c r="F11" s="10" t="n">
        <x:v>0.7534722222222222</x:v>
      </x:c>
      <x:c r="G11" s="11" t="n">
        <x:v>46243.92013888889</x:v>
      </x:c>
      <x:c r="H11" s="8" t="str">
        <x:v>America/Santiago</x:v>
      </x:c>
      <x:c r="I11" s="8" t="str">
        <x:v>website</x:v>
      </x:c>
      <x:c r="J11" s="12" t="str">
        <x:v>https://www.flow.cl/btn.php?token=gbz74u7</x:v>
      </x:c>
      <x:c r="K11" s="12" t="str">
        <x:v>https://www.flow.cl/btn.php?token=gbz74u7#2026-08-09T18:05</x:v>
      </x:c>
      <x:c r="L11" s="13" t="n">
        <x:v>46245.63486677083</x:v>
      </x:c>
      <x:c r="M11" s="12" t="str">
        <x:v>el-dia-d-bajo-presion:cine-arte-normandie:2026-08-09T22:05:00.000Z</x:v>
      </x:c>
      <x:c r="N11" s="8" t="str">
        <x:f>IF(E11&gt;='Resumen'!$B$8,"Próxima","Pasada")</x:f>
        <x:v>Pasada</x:v>
      </x:c>
    </x:row>
    <x:row r="12">
      <x:c r="A12" s="12" t="str">
        <x:v>Obsesión</x:v>
      </x:c>
      <x:c r="B12" s="12" t="str">
        <x:v>Cine Arte Normandie</x:v>
      </x:c>
      <x:c r="C12" s="8" t="str">
        <x:v>obsesion</x:v>
      </x:c>
      <x:c r="D12" s="8" t="str">
        <x:v>cine-arte-normandie</x:v>
      </x:c>
      <x:c r="E12" s="9" t="n">
        <x:v>46243.5</x:v>
      </x:c>
      <x:c r="F12" s="10" t="n">
        <x:v>0.8368055555555556</x:v>
      </x:c>
      <x:c r="G12" s="11" t="n">
        <x:v>46244.00347222222</x:v>
      </x:c>
      <x:c r="H12" s="8" t="str">
        <x:v>America/Santiago</x:v>
      </x:c>
      <x:c r="I12" s="8" t="str">
        <x:v>website</x:v>
      </x:c>
      <x:c r="J12" s="12" t="str">
        <x:v>https://www.flow.cl/btn.php?token=je43d092e3bb71a65d5b68d834924f358d6c8051</x:v>
      </x:c>
      <x:c r="K12" s="12" t="str">
        <x:v>https://www.flow.cl/btn.php?token=je43d092e3bb71a65d5b68d834924f358d6c8051#2026-08-09T20:05</x:v>
      </x:c>
      <x:c r="L12" s="13" t="n">
        <x:v>46245.63486677083</x:v>
      </x:c>
      <x:c r="M12" s="12" t="str">
        <x:v>obsesion:cine-arte-normandie:2026-08-10T00:05:00.000Z</x:v>
      </x:c>
      <x:c r="N12" s="8" t="str">
        <x:f>IF(E12&gt;='Resumen'!$B$8,"Próxima","Pasada")</x:f>
        <x:v>Pasada</x:v>
      </x:c>
    </x:row>
    <x:row r="13">
      <x:c r="A13" s="12" t="str">
        <x:v>El desprecio</x:v>
      </x:c>
      <x:c r="B13" s="12" t="str">
        <x:v>Cine Arte Normandie</x:v>
      </x:c>
      <x:c r="C13" s="8" t="str">
        <x:v>el-desprecio</x:v>
      </x:c>
      <x:c r="D13" s="8" t="str">
        <x:v>cine-arte-normandie</x:v>
      </x:c>
      <x:c r="E13" s="9" t="n">
        <x:v>46244.5</x:v>
      </x:c>
      <x:c r="F13" s="10" t="n">
        <x:v>0.625</x:v>
      </x:c>
      <x:c r="G13" s="11" t="n">
        <x:v>46244.791666666664</x:v>
      </x:c>
      <x:c r="H13" s="8" t="str">
        <x:v>America/Santiago</x:v>
      </x:c>
      <x:c r="I13" s="8" t="str">
        <x:v>website</x:v>
      </x:c>
      <x:c r="J13" s="12" t="str">
        <x:v>https://www.flow.cl/btn.php?token=uvpdsnc</x:v>
      </x:c>
      <x:c r="K13" s="12" t="str">
        <x:v>https://www.flow.cl/btn.php?token=uvpdsnc#2026-08-10T15:00</x:v>
      </x:c>
      <x:c r="L13" s="13" t="n">
        <x:v>46245.63486677083</x:v>
      </x:c>
      <x:c r="M13" s="12" t="str">
        <x:v>el-desprecio:cine-arte-normandie:2026-08-10T19:00:00.000Z</x:v>
      </x:c>
      <x:c r="N13" s="8" t="str">
        <x:f>IF(E13&gt;='Resumen'!$B$8,"Próxima","Pasada")</x:f>
        <x:v>Pasada</x:v>
      </x:c>
    </x:row>
    <x:row r="14">
      <x:c r="A14" s="12" t="str">
        <x:v>Backrooms – Versión extendida</x:v>
      </x:c>
      <x:c r="B14" s="12" t="str">
        <x:v>Cine Arte Normandie</x:v>
      </x:c>
      <x:c r="C14" s="8" t="str">
        <x:v>backrooms-version-extendida</x:v>
      </x:c>
      <x:c r="D14" s="8" t="str">
        <x:v>cine-arte-normandie</x:v>
      </x:c>
      <x:c r="E14" s="9" t="n">
        <x:v>46244.5</x:v>
      </x:c>
      <x:c r="F14" s="10" t="n">
        <x:v>0.7152777777777778</x:v>
      </x:c>
      <x:c r="G14" s="11" t="n">
        <x:v>46244.881944444445</x:v>
      </x:c>
      <x:c r="H14" s="8" t="str">
        <x:v>America/Santiago</x:v>
      </x:c>
      <x:c r="I14" s="8" t="str">
        <x:v>website</x:v>
      </x:c>
      <x:c r="J14" s="12" t="str">
        <x:v>https://www.flow.cl/btn.php?token=6qzbnic</x:v>
      </x:c>
      <x:c r="K14" s="12" t="str">
        <x:v>https://www.flow.cl/btn.php?token=6qzbnic#2026-08-10T17:10</x:v>
      </x:c>
      <x:c r="L14" s="13" t="n">
        <x:v>46245.63486677083</x:v>
      </x:c>
      <x:c r="M14" s="12" t="str">
        <x:v>backrooms-version-extendida:cine-arte-normandie:2026-08-10T21:10:00.000Z</x:v>
      </x:c>
      <x:c r="N14" s="8" t="str">
        <x:f>IF(E14&gt;='Resumen'!$B$8,"Próxima","Pasada")</x:f>
        <x:v>Pasada</x:v>
      </x:c>
    </x:row>
    <x:row r="15">
      <x:c r="A15" s="12" t="str">
        <x:v>Happy Together</x:v>
      </x:c>
      <x:c r="B15" s="12" t="str">
        <x:v>Cine Arte Normandie</x:v>
      </x:c>
      <x:c r="C15" s="8" t="str">
        <x:v>happy-together</x:v>
      </x:c>
      <x:c r="D15" s="8" t="str">
        <x:v>cine-arte-normandie</x:v>
      </x:c>
      <x:c r="E15" s="9" t="n">
        <x:v>46244.5</x:v>
      </x:c>
      <x:c r="F15" s="10" t="n">
        <x:v>0.8194444444444444</x:v>
      </x:c>
      <x:c r="G15" s="11" t="n">
        <x:v>46244.98611111111</x:v>
      </x:c>
      <x:c r="H15" s="8" t="str">
        <x:v>America/Santiago</x:v>
      </x:c>
      <x:c r="I15" s="8" t="str">
        <x:v>website</x:v>
      </x:c>
      <x:c r="J15" s="12" t="str">
        <x:v>https://www.flow.cl/btn.php?token=iyoolhf</x:v>
      </x:c>
      <x:c r="K15" s="12" t="str">
        <x:v>https://www.flow.cl/btn.php?token=iyoolhf#2026-08-10T19:40</x:v>
      </x:c>
      <x:c r="L15" s="13" t="n">
        <x:v>46245.63486677083</x:v>
      </x:c>
      <x:c r="M15" s="12" t="str">
        <x:v>happy-together:cine-arte-normandie:2026-08-10T23:40:00.000Z</x:v>
      </x:c>
      <x:c r="N15" s="8" t="str">
        <x:f>IF(E15&gt;='Resumen'!$B$8,"Próxima","Pasada")</x:f>
        <x:v>Pasada</x:v>
      </x:c>
    </x:row>
    <x:row r="16">
      <x:c r="A16" s="12" t="str">
        <x:v>Diamanti</x:v>
      </x:c>
      <x:c r="B16" s="12" t="str">
        <x:v>Cine Arte Normandie</x:v>
      </x:c>
      <x:c r="C16" s="8" t="str">
        <x:v>diamanti</x:v>
      </x:c>
      <x:c r="D16" s="8" t="str">
        <x:v>cine-arte-normandie</x:v>
      </x:c>
      <x:c r="E16" s="9" t="n">
        <x:v>46245.5</x:v>
      </x:c>
      <x:c r="F16" s="10" t="n">
        <x:v>0.625</x:v>
      </x:c>
      <x:c r="G16" s="11" t="n">
        <x:v>46245.791666666664</x:v>
      </x:c>
      <x:c r="H16" s="8" t="str">
        <x:v>America/Santiago</x:v>
      </x:c>
      <x:c r="I16" s="8" t="str">
        <x:v>website</x:v>
      </x:c>
      <x:c r="J16" s="12" t="str">
        <x:v>https://www.flow.cl/btn.php?token=fa2fcd6310665a36d23f194cbc81ccabbf1a4bfb</x:v>
      </x:c>
      <x:c r="K16" s="12" t="str">
        <x:v>https://www.flow.cl/btn.php?token=fa2fcd6310665a36d23f194cbc81ccabbf1a4bfb#2026-08-11T15:00</x:v>
      </x:c>
      <x:c r="L16" s="13" t="n">
        <x:v>46245.63486677083</x:v>
      </x:c>
      <x:c r="M16" s="12" t="str">
        <x:v>diamanti:cine-arte-normandie:2026-08-11T19:00:00.000Z</x:v>
      </x:c>
      <x:c r="N16" s="8" t="str">
        <x:f>IF(E16&gt;='Resumen'!$B$8,"Próxima","Pasada")</x:f>
        <x:v>Próxima</x:v>
      </x:c>
    </x:row>
    <x:row r="17">
      <x:c r="A17" s="12" t="str">
        <x:v>Obsesión</x:v>
      </x:c>
      <x:c r="B17" s="12" t="str">
        <x:v>Cine Arte Normandie</x:v>
      </x:c>
      <x:c r="C17" s="8" t="str">
        <x:v>obsesion</x:v>
      </x:c>
      <x:c r="D17" s="8" t="str">
        <x:v>cine-arte-normandie</x:v>
      </x:c>
      <x:c r="E17" s="9" t="n">
        <x:v>46245.5</x:v>
      </x:c>
      <x:c r="F17" s="10" t="n">
        <x:v>0.7291666666666666</x:v>
      </x:c>
      <x:c r="G17" s="11" t="n">
        <x:v>46245.895833333336</x:v>
      </x:c>
      <x:c r="H17" s="8" t="str">
        <x:v>America/Santiago</x:v>
      </x:c>
      <x:c r="I17" s="8" t="str">
        <x:v>website</x:v>
      </x:c>
      <x:c r="J17" s="12" t="str">
        <x:v>https://www.flow.cl/btn.php?token=r15af9445685c7dc04f43fd8c7488d501da730e3</x:v>
      </x:c>
      <x:c r="K17" s="12" t="str">
        <x:v>https://www.flow.cl/btn.php?token=r15af9445685c7dc04f43fd8c7488d501da730e3#2026-08-11T17:30</x:v>
      </x:c>
      <x:c r="L17" s="13" t="n">
        <x:v>46245.63486677083</x:v>
      </x:c>
      <x:c r="M17" s="12" t="str">
        <x:v>obsesion:cine-arte-normandie:2026-08-11T21:30:00.000Z</x:v>
      </x:c>
      <x:c r="N17" s="8" t="str">
        <x:f>IF(E17&gt;='Resumen'!$B$8,"Próxima","Pasada")</x:f>
        <x:v>Próxima</x:v>
      </x:c>
    </x:row>
    <x:row r="18">
      <x:c r="A18" s="12" t="str">
        <x:v>The Doors</x:v>
      </x:c>
      <x:c r="B18" s="12" t="str">
        <x:v>Cine Arte Normandie</x:v>
      </x:c>
      <x:c r="C18" s="8" t="str">
        <x:v>the-doors</x:v>
      </x:c>
      <x:c r="D18" s="8" t="str">
        <x:v>cine-arte-normandie</x:v>
      </x:c>
      <x:c r="E18" s="9" t="n">
        <x:v>46245.5</x:v>
      </x:c>
      <x:c r="F18" s="10" t="n">
        <x:v>0.8194444444444444</x:v>
      </x:c>
      <x:c r="G18" s="11" t="n">
        <x:v>46245.98611111111</x:v>
      </x:c>
      <x:c r="H18" s="8" t="str">
        <x:v>America/Santiago</x:v>
      </x:c>
      <x:c r="I18" s="8" t="str">
        <x:v>website</x:v>
      </x:c>
      <x:c r="J18" s="12" t="str">
        <x:v>https://www.flow.cl/btn.php?token=mfhsdde</x:v>
      </x:c>
      <x:c r="K18" s="12" t="str">
        <x:v>https://www.flow.cl/btn.php?token=mfhsdde#2026-08-11T19:40</x:v>
      </x:c>
      <x:c r="L18" s="13" t="n">
        <x:v>46245.63486677083</x:v>
      </x:c>
      <x:c r="M18" s="12" t="str">
        <x:v>the-doors:cine-arte-normandie:2026-08-11T23:40:00.000Z</x:v>
      </x:c>
      <x:c r="N18" s="8" t="str">
        <x:f>IF(E18&gt;='Resumen'!$B$8,"Próxima","Pasada")</x:f>
        <x:v>Próxima</x:v>
      </x:c>
    </x:row>
    <x:row r="19">
      <x:c r="A19" s="12" t="str">
        <x:v>La Odisea</x:v>
      </x:c>
      <x:c r="B19" s="12" t="str">
        <x:v>Cine Arte Normandie</x:v>
      </x:c>
      <x:c r="C19" s="8" t="str">
        <x:v>la-odisea</x:v>
      </x:c>
      <x:c r="D19" s="8" t="str">
        <x:v>cine-arte-normandie</x:v>
      </x:c>
      <x:c r="E19" s="9" t="n">
        <x:v>46246.5</x:v>
      </x:c>
      <x:c r="F19" s="10" t="n">
        <x:v>0.625</x:v>
      </x:c>
      <x:c r="G19" s="11" t="n">
        <x:v>46246.791666666664</x:v>
      </x:c>
      <x:c r="H19" s="8" t="str">
        <x:v>America/Santiago</x:v>
      </x:c>
      <x:c r="I19" s="8" t="str">
        <x:v>website</x:v>
      </x:c>
      <x:c r="J19" s="12" t="str">
        <x:v>https://www.flow.cl/btn.php?token=khnkf1c</x:v>
      </x:c>
      <x:c r="K19" s="12" t="str">
        <x:v>https://www.flow.cl/btn.php?token=khnkf1c#2026-08-12T15:00</x:v>
      </x:c>
      <x:c r="L19" s="13" t="n">
        <x:v>46245.63486677083</x:v>
      </x:c>
      <x:c r="M19" s="12" t="str">
        <x:v>la-odisea:cine-arte-normandie:2026-08-12T19:00:00.000Z</x:v>
      </x:c>
      <x:c r="N19" s="8" t="str">
        <x:f>IF(E19&gt;='Resumen'!$B$8,"Próxima","Pasada")</x:f>
        <x:v>Próxima</x:v>
      </x:c>
    </x:row>
    <x:row r="20">
      <x:c r="A20" s="12" t="str">
        <x:v>El día D: Bajo presión</x:v>
      </x:c>
      <x:c r="B20" s="12" t="str">
        <x:v>Cine Arte Normandie</x:v>
      </x:c>
      <x:c r="C20" s="8" t="str">
        <x:v>el-dia-d-bajo-presion</x:v>
      </x:c>
      <x:c r="D20" s="8" t="str">
        <x:v>cine-arte-normandie</x:v>
      </x:c>
      <x:c r="E20" s="9" t="n">
        <x:v>46246.5</x:v>
      </x:c>
      <x:c r="F20" s="10" t="n">
        <x:v>0.7569444444444444</x:v>
      </x:c>
      <x:c r="G20" s="11" t="n">
        <x:v>46246.92361111111</x:v>
      </x:c>
      <x:c r="H20" s="8" t="str">
        <x:v>America/Santiago</x:v>
      </x:c>
      <x:c r="I20" s="8" t="str">
        <x:v>website</x:v>
      </x:c>
      <x:c r="J20" s="12" t="str">
        <x:v>https://www.flow.cl/btn.php?token=yclccoj</x:v>
      </x:c>
      <x:c r="K20" s="12" t="str">
        <x:v>https://www.flow.cl/btn.php?token=yclccoj#2026-08-12T18:10</x:v>
      </x:c>
      <x:c r="L20" s="13" t="n">
        <x:v>46245.63486677083</x:v>
      </x:c>
      <x:c r="M20" s="12" t="str">
        <x:v>el-dia-d-bajo-presion:cine-arte-normandie:2026-08-12T22:10:00.000Z</x:v>
      </x:c>
      <x:c r="N20" s="8" t="str">
        <x:f>IF(E20&gt;='Resumen'!$B$8,"Próxima","Pasada")</x:f>
        <x:v>Próxima</x:v>
      </x:c>
    </x:row>
    <x:row r="21">
      <x:c r="A21" s="12" t="str">
        <x:v>El hombre Elefante</x:v>
      </x:c>
      <x:c r="B21" s="12" t="str">
        <x:v>Cine Arte Normandie</x:v>
      </x:c>
      <x:c r="C21" s="8" t="str">
        <x:v>el-hombre-elefante</x:v>
      </x:c>
      <x:c r="D21" s="8" t="str">
        <x:v>cine-arte-normandie</x:v>
      </x:c>
      <x:c r="E21" s="9" t="n">
        <x:v>46246.5</x:v>
      </x:c>
      <x:c r="F21" s="10" t="n">
        <x:v>0.8368055555555556</x:v>
      </x:c>
      <x:c r="G21" s="11" t="n">
        <x:v>46247.00347222222</x:v>
      </x:c>
      <x:c r="H21" s="8" t="str">
        <x:v>America/Santiago</x:v>
      </x:c>
      <x:c r="I21" s="8" t="str">
        <x:v>website</x:v>
      </x:c>
      <x:c r="J21" s="12" t="str">
        <x:v>https://www.flow.cl/btn.php?token=qc4dae705bf68ce8d0c7acf6266f3f455b0e02dc</x:v>
      </x:c>
      <x:c r="K21" s="12" t="str">
        <x:v>https://www.flow.cl/btn.php?token=qc4dae705bf68ce8d0c7acf6266f3f455b0e02dc#2026-08-12T20:05</x:v>
      </x:c>
      <x:c r="L21" s="13" t="n">
        <x:v>46245.63486677083</x:v>
      </x:c>
      <x:c r="M21" s="12" t="str">
        <x:v>el-hombre-elefante:cine-arte-normandie:2026-08-13T00:05:00.000Z</x:v>
      </x:c>
      <x:c r="N21" s="8" t="str">
        <x:f>IF(E21&gt;='Resumen'!$B$8,"Próxima","Pasada")</x:f>
        <x:v>Próxima</x:v>
      </x:c>
    </x:row>
    <x:row r="22">
      <x:c r="A22" s="12" t="str">
        <x:v>Tuyo es mi corazón (Notorious)</x:v>
      </x:c>
      <x:c r="B22" s="12" t="str">
        <x:v>Cine Arte Normandie</x:v>
      </x:c>
      <x:c r="C22" s="8" t="str">
        <x:v>tuyo-es-mi-corazon-notorious</x:v>
      </x:c>
      <x:c r="D22" s="8" t="str">
        <x:v>cine-arte-normandie</x:v>
      </x:c>
      <x:c r="E22" s="9" t="n">
        <x:v>46233.5</x:v>
      </x:c>
      <x:c r="F22" s="10" t="n">
        <x:v>0.625</x:v>
      </x:c>
      <x:c r="G22" s="11" t="n">
        <x:v>46233.791666666664</x:v>
      </x:c>
      <x:c r="H22" s="8" t="str">
        <x:v>America/Santiago</x:v>
      </x:c>
      <x:c r="I22" s="8" t="str">
        <x:v>website</x:v>
      </x:c>
      <x:c r="J22" s="12" t="str">
        <x:v>https://www.flow.cl/btn.php?token=g9kz5at</x:v>
      </x:c>
      <x:c r="K22" s="12" t="str">
        <x:v>https://www.flow.cl/btn.php?token=g9kz5at#2026-07-30T15:00</x:v>
      </x:c>
      <x:c r="L22" s="13" t="n">
        <x:v>46245.63486677083</x:v>
      </x:c>
      <x:c r="M22" s="12" t="str">
        <x:v>tuyo-es-mi-corazon-notorious:cine-arte-normandie:2026-07-30T19:00:00.000Z</x:v>
      </x:c>
      <x:c r="N22" s="8" t="str">
        <x:f>IF(E22&gt;='Resumen'!$B$8,"Próxima","Pasada")</x:f>
        <x:v>Pasada</x:v>
      </x:c>
    </x:row>
    <x:row r="23">
      <x:c r="A23" s="12" t="str">
        <x:v>Backrooms – Versión extendida</x:v>
      </x:c>
      <x:c r="B23" s="12" t="str">
        <x:v>Cine Arte Normandie</x:v>
      </x:c>
      <x:c r="C23" s="8" t="str">
        <x:v>backrooms-version-extendida</x:v>
      </x:c>
      <x:c r="D23" s="8" t="str">
        <x:v>cine-arte-normandie</x:v>
      </x:c>
      <x:c r="E23" s="9" t="n">
        <x:v>46233.5</x:v>
      </x:c>
      <x:c r="F23" s="10" t="n">
        <x:v>0.7083333333333334</x:v>
      </x:c>
      <x:c r="G23" s="11" t="n">
        <x:v>46233.875</x:v>
      </x:c>
      <x:c r="H23" s="8" t="str">
        <x:v>America/Santiago</x:v>
      </x:c>
      <x:c r="I23" s="8" t="str">
        <x:v>website</x:v>
      </x:c>
      <x:c r="J23" s="12" t="str">
        <x:v>https://www.flow.cl/btn.php?token=t5113ee51d61651196cf21977af3614628bb9338</x:v>
      </x:c>
      <x:c r="K23" s="12" t="str">
        <x:v>https://www.flow.cl/btn.php?token=t5113ee51d61651196cf21977af3614628bb9338#2026-07-30T17:00</x:v>
      </x:c>
      <x:c r="L23" s="13" t="n">
        <x:v>46245.63486677083</x:v>
      </x:c>
      <x:c r="M23" s="12" t="str">
        <x:v>backrooms-version-extendida:cine-arte-normandie:2026-07-30T21:00:00.000Z</x:v>
      </x:c>
      <x:c r="N23" s="8" t="str">
        <x:f>IF(E23&gt;='Resumen'!$B$8,"Próxima","Pasada")</x:f>
        <x:v>Pasada</x:v>
      </x:c>
    </x:row>
    <x:row r="24">
      <x:c r="A24" s="12" t="str">
        <x:v>La invitación</x:v>
      </x:c>
      <x:c r="B24" s="12" t="str">
        <x:v>Cine Arte Normandie</x:v>
      </x:c>
      <x:c r="C24" s="8" t="str">
        <x:v>la-invitacion</x:v>
      </x:c>
      <x:c r="D24" s="8" t="str">
        <x:v>cine-arte-normandie</x:v>
      </x:c>
      <x:c r="E24" s="9" t="n">
        <x:v>46233.5</x:v>
      </x:c>
      <x:c r="F24" s="10" t="n">
        <x:v>0.8125</x:v>
      </x:c>
      <x:c r="G24" s="11" t="n">
        <x:v>46233.979166666664</x:v>
      </x:c>
      <x:c r="H24" s="8" t="str">
        <x:v>America/Santiago</x:v>
      </x:c>
      <x:c r="I24" s="8" t="str">
        <x:v>website</x:v>
      </x:c>
      <x:c r="J24" s="12" t="str">
        <x:v>https://www.flow.cl/btn.php?token=emdqryb</x:v>
      </x:c>
      <x:c r="K24" s="12" t="str">
        <x:v>https://www.flow.cl/btn.php?token=emdqryb#2026-07-30T19:30</x:v>
      </x:c>
      <x:c r="L24" s="13" t="n">
        <x:v>46245.63486677083</x:v>
      </x:c>
      <x:c r="M24" s="12" t="str">
        <x:v>la-invitacion:cine-arte-normandie:2026-07-30T23:30:00.000Z</x:v>
      </x:c>
      <x:c r="N24" s="8" t="str">
        <x:f>IF(E24&gt;='Resumen'!$B$8,"Próxima","Pasada")</x:f>
        <x:v>Pasada</x:v>
      </x:c>
    </x:row>
    <x:row r="25">
      <x:c r="A25" s="12" t="str">
        <x:v>Los 400 golpes</x:v>
      </x:c>
      <x:c r="B25" s="12" t="str">
        <x:v>Cine Arte Normandie</x:v>
      </x:c>
      <x:c r="C25" s="8" t="str">
        <x:v>los-400-golpes</x:v>
      </x:c>
      <x:c r="D25" s="8" t="str">
        <x:v>cine-arte-normandie</x:v>
      </x:c>
      <x:c r="E25" s="9" t="n">
        <x:v>46234.5</x:v>
      </x:c>
      <x:c r="F25" s="10" t="n">
        <x:v>0.625</x:v>
      </x:c>
      <x:c r="G25" s="11" t="n">
        <x:v>46234.791666666664</x:v>
      </x:c>
      <x:c r="H25" s="8" t="str">
        <x:v>America/Santiago</x:v>
      </x:c>
      <x:c r="I25" s="8" t="str">
        <x:v>website</x:v>
      </x:c>
      <x:c r="J25" s="12" t="str">
        <x:v>https://www.flow.cl/btn.php?token=knr9zdb</x:v>
      </x:c>
      <x:c r="K25" s="12" t="str">
        <x:v>https://www.flow.cl/btn.php?token=knr9zdb#2026-07-31T15:00</x:v>
      </x:c>
      <x:c r="L25" s="13" t="n">
        <x:v>46245.63486677083</x:v>
      </x:c>
      <x:c r="M25" s="12" t="str">
        <x:v>los-400-golpes:cine-arte-normandie:2026-07-31T19:00:00.000Z</x:v>
      </x:c>
      <x:c r="N25" s="8" t="str">
        <x:f>IF(E25&gt;='Resumen'!$B$8,"Próxima","Pasada")</x:f>
        <x:v>Pasada</x:v>
      </x:c>
    </x:row>
    <x:row r="26">
      <x:c r="A26" s="12" t="str">
        <x:v>Obsesión</x:v>
      </x:c>
      <x:c r="B26" s="12" t="str">
        <x:v>Cine Arte Normandie</x:v>
      </x:c>
      <x:c r="C26" s="8" t="str">
        <x:v>obsesion</x:v>
      </x:c>
      <x:c r="D26" s="8" t="str">
        <x:v>cine-arte-normandie</x:v>
      </x:c>
      <x:c r="E26" s="9" t="n">
        <x:v>46234.5</x:v>
      </x:c>
      <x:c r="F26" s="10" t="n">
        <x:v>0.7083333333333334</x:v>
      </x:c>
      <x:c r="G26" s="11" t="n">
        <x:v>46234.875</x:v>
      </x:c>
      <x:c r="H26" s="8" t="str">
        <x:v>America/Santiago</x:v>
      </x:c>
      <x:c r="I26" s="8" t="str">
        <x:v>website</x:v>
      </x:c>
      <x:c r="J26" s="12" t="str">
        <x:v>https://www.flow.cl/btn.php?token=sb50de4721fdadf1a75ff58b44e8ad4c4237d7c5</x:v>
      </x:c>
      <x:c r="K26" s="12" t="str">
        <x:v>https://www.flow.cl/btn.php?token=sb50de4721fdadf1a75ff58b44e8ad4c4237d7c5#2026-07-31T17:00</x:v>
      </x:c>
      <x:c r="L26" s="13" t="n">
        <x:v>46245.63486677083</x:v>
      </x:c>
      <x:c r="M26" s="12" t="str">
        <x:v>obsesion:cine-arte-normandie:2026-07-31T21:00:00.000Z</x:v>
      </x:c>
      <x:c r="N26" s="8" t="str">
        <x:f>IF(E26&gt;='Resumen'!$B$8,"Próxima","Pasada")</x:f>
        <x:v>Pasada</x:v>
      </x:c>
    </x:row>
    <x:row r="27">
      <x:c r="A27" s="12" t="str">
        <x:v>Rocky III</x:v>
      </x:c>
      <x:c r="B27" s="12" t="str">
        <x:v>Cine Arte Normandie</x:v>
      </x:c>
      <x:c r="C27" s="8" t="str">
        <x:v>rocky-iii</x:v>
      </x:c>
      <x:c r="D27" s="8" t="str">
        <x:v>cine-arte-normandie</x:v>
      </x:c>
      <x:c r="E27" s="9" t="n">
        <x:v>46234.5</x:v>
      </x:c>
      <x:c r="F27" s="10" t="n">
        <x:v>0.8229166666666666</x:v>
      </x:c>
      <x:c r="G27" s="11" t="n">
        <x:v>46234.989583333336</x:v>
      </x:c>
      <x:c r="H27" s="8" t="str">
        <x:v>America/Santiago</x:v>
      </x:c>
      <x:c r="I27" s="8" t="str">
        <x:v>website</x:v>
      </x:c>
      <x:c r="J27" s="12" t="str">
        <x:v>https://www.flow.cl/btn.php?token=l2f7352ba29ef3c76ccde15d6f7f525884c99428</x:v>
      </x:c>
      <x:c r="K27" s="12" t="str">
        <x:v>https://www.flow.cl/btn.php?token=l2f7352ba29ef3c76ccde15d6f7f525884c99428#2026-07-31T19:45</x:v>
      </x:c>
      <x:c r="L27" s="13" t="n">
        <x:v>46245.63486677083</x:v>
      </x:c>
      <x:c r="M27" s="12" t="str">
        <x:v>rocky-iii:cine-arte-normandie:2026-07-31T23:45:00.000Z</x:v>
      </x:c>
      <x:c r="N27" s="8" t="str">
        <x:f>IF(E27&gt;='Resumen'!$B$8,"Próxima","Pasada")</x:f>
        <x:v>Pasada</x:v>
      </x:c>
    </x:row>
    <x:row r="28">
      <x:c r="A28" s="12" t="str">
        <x:v>La misteriosa mirada del flamenco</x:v>
      </x:c>
      <x:c r="B28" s="12" t="str">
        <x:v>Cine Arte Normandie</x:v>
      </x:c>
      <x:c r="C28" s="8" t="str">
        <x:v>la-misteriosa-mirada-del-flamenco</x:v>
      </x:c>
      <x:c r="D28" s="8" t="str">
        <x:v>cine-arte-normandie</x:v>
      </x:c>
      <x:c r="E28" s="9" t="n">
        <x:v>46235.5</x:v>
      </x:c>
      <x:c r="F28" s="10" t="n">
        <x:v>0.625</x:v>
      </x:c>
      <x:c r="G28" s="11" t="n">
        <x:v>46235.791666666664</x:v>
      </x:c>
      <x:c r="H28" s="8" t="str">
        <x:v>America/Santiago</x:v>
      </x:c>
      <x:c r="I28" s="8" t="str">
        <x:v>website</x:v>
      </x:c>
      <x:c r="J28" s="12" t="str">
        <x:v>https://www.flow.cl/btn.php?token=h941b4730dc27daf8a4768050ca8f9dfc11350d7</x:v>
      </x:c>
      <x:c r="K28" s="12" t="str">
        <x:v>https://www.flow.cl/btn.php?token=h941b4730dc27daf8a4768050ca8f9dfc11350d7#2026-08-01T15:00</x:v>
      </x:c>
      <x:c r="L28" s="13" t="n">
        <x:v>46245.63486677083</x:v>
      </x:c>
      <x:c r="M28" s="12" t="str">
        <x:v>la-misteriosa-mirada-del-flamenco:cine-arte-normandie:2026-08-01T19:00:00.000Z</x:v>
      </x:c>
      <x:c r="N28" s="8" t="str">
        <x:f>IF(E28&gt;='Resumen'!$B$8,"Próxima","Pasada")</x:f>
        <x:v>Pasada</x:v>
      </x:c>
    </x:row>
    <x:row r="29">
      <x:c r="A29" s="12" t="str">
        <x:v>Backrooms – Versión extendida</x:v>
      </x:c>
      <x:c r="B29" s="12" t="str">
        <x:v>Cine Arte Normandie</x:v>
      </x:c>
      <x:c r="C29" s="8" t="str">
        <x:v>backrooms-version-extendida</x:v>
      </x:c>
      <x:c r="D29" s="8" t="str">
        <x:v>cine-arte-normandie</x:v>
      </x:c>
      <x:c r="E29" s="9" t="n">
        <x:v>46235.5</x:v>
      </x:c>
      <x:c r="F29" s="10" t="n">
        <x:v>0.7152777777777778</x:v>
      </x:c>
      <x:c r="G29" s="11" t="n">
        <x:v>46235.881944444445</x:v>
      </x:c>
      <x:c r="H29" s="8" t="str">
        <x:v>America/Santiago</x:v>
      </x:c>
      <x:c r="I29" s="8" t="str">
        <x:v>website</x:v>
      </x:c>
      <x:c r="J29" s="12" t="str">
        <x:v>https://www.flow.cl/btn.php?token=of7320aaf8fd478132251971f6a5d72a2fa0a021</x:v>
      </x:c>
      <x:c r="K29" s="12" t="str">
        <x:v>https://www.flow.cl/btn.php?token=of7320aaf8fd478132251971f6a5d72a2fa0a021#2026-08-01T17:10</x:v>
      </x:c>
      <x:c r="L29" s="13" t="n">
        <x:v>46245.63486677083</x:v>
      </x:c>
      <x:c r="M29" s="12" t="str">
        <x:v>backrooms-version-extendida:cine-arte-normandie:2026-08-01T21:10:00.000Z</x:v>
      </x:c>
      <x:c r="N29" s="8" t="str">
        <x:f>IF(E29&gt;='Resumen'!$B$8,"Próxima","Pasada")</x:f>
        <x:v>Pasada</x:v>
      </x:c>
    </x:row>
    <x:row r="30">
      <x:c r="A30" s="12" t="str">
        <x:v>Obsesión</x:v>
      </x:c>
      <x:c r="B30" s="12" t="str">
        <x:v>Cine Arte Normandie</x:v>
      </x:c>
      <x:c r="C30" s="8" t="str">
        <x:v>obsesion</x:v>
      </x:c>
      <x:c r="D30" s="8" t="str">
        <x:v>cine-arte-normandie</x:v>
      </x:c>
      <x:c r="E30" s="9" t="n">
        <x:v>46235.5</x:v>
      </x:c>
      <x:c r="F30" s="10" t="n">
        <x:v>0.8194444444444444</x:v>
      </x:c>
      <x:c r="G30" s="11" t="n">
        <x:v>46235.98611111111</x:v>
      </x:c>
      <x:c r="H30" s="8" t="str">
        <x:v>America/Santiago</x:v>
      </x:c>
      <x:c r="I30" s="8" t="str">
        <x:v>website</x:v>
      </x:c>
      <x:c r="J30" s="12" t="str">
        <x:v>https://www.flow.cl/btn.php?token=g436b4b3902e3051e291471e6caff22efaf3d147</x:v>
      </x:c>
      <x:c r="K30" s="12" t="str">
        <x:v>https://www.flow.cl/btn.php?token=g436b4b3902e3051e291471e6caff22efaf3d147#2026-08-01T19:40</x:v>
      </x:c>
      <x:c r="L30" s="13" t="n">
        <x:v>46245.63486677083</x:v>
      </x:c>
      <x:c r="M30" s="12" t="str">
        <x:v>obsesion:cine-arte-normandie:2026-08-01T23:40:00.000Z</x:v>
      </x:c>
      <x:c r="N30" s="8" t="str">
        <x:f>IF(E30&gt;='Resumen'!$B$8,"Próxima","Pasada")</x:f>
        <x:v>Pasada</x:v>
      </x:c>
    </x:row>
    <x:row r="31">
      <x:c r="A31" s="12" t="str">
        <x:v>Mil pedazos</x:v>
      </x:c>
      <x:c r="B31" s="12" t="str">
        <x:v>Cine Arte Normandie</x:v>
      </x:c>
      <x:c r="C31" s="8" t="str">
        <x:v>mil-pedazos</x:v>
      </x:c>
      <x:c r="D31" s="8" t="str">
        <x:v>cine-arte-normandie</x:v>
      </x:c>
      <x:c r="E31" s="9" t="n">
        <x:v>46236.5</x:v>
      </x:c>
      <x:c r="F31" s="10" t="n">
        <x:v>0.625</x:v>
      </x:c>
      <x:c r="G31" s="11" t="n">
        <x:v>46236.791666666664</x:v>
      </x:c>
      <x:c r="H31" s="8" t="str">
        <x:v>America/Santiago</x:v>
      </x:c>
      <x:c r="I31" s="8" t="str">
        <x:v>website</x:v>
      </x:c>
      <x:c r="J31" s="12" t="str">
        <x:v>https://www.flow.cl/btn.php?token=ofjfv55</x:v>
      </x:c>
      <x:c r="K31" s="12" t="str">
        <x:v>https://www.flow.cl/btn.php?token=ofjfv55#2026-08-02T15:00</x:v>
      </x:c>
      <x:c r="L31" s="13" t="n">
        <x:v>46245.63486677083</x:v>
      </x:c>
      <x:c r="M31" s="12" t="str">
        <x:v>mil-pedazos:cine-arte-normandie:2026-08-02T19:00:00.000Z</x:v>
      </x:c>
      <x:c r="N31" s="8" t="str">
        <x:f>IF(E31&gt;='Resumen'!$B$8,"Próxima","Pasada")</x:f>
        <x:v>Pasada</x:v>
      </x:c>
    </x:row>
    <x:row r="32">
      <x:c r="A32" s="12" t="str">
        <x:v>La Odisea</x:v>
      </x:c>
      <x:c r="B32" s="12" t="str">
        <x:v>Cine Arte Normandie</x:v>
      </x:c>
      <x:c r="C32" s="8" t="str">
        <x:v>la-odisea</x:v>
      </x:c>
      <x:c r="D32" s="8" t="str">
        <x:v>cine-arte-normandie</x:v>
      </x:c>
      <x:c r="E32" s="9" t="n">
        <x:v>46236.5</x:v>
      </x:c>
      <x:c r="F32" s="10" t="n">
        <x:v>0.6979166666666666</x:v>
      </x:c>
      <x:c r="G32" s="11" t="n">
        <x:v>46236.864583333336</x:v>
      </x:c>
      <x:c r="H32" s="8" t="str">
        <x:v>America/Santiago</x:v>
      </x:c>
      <x:c r="I32" s="8" t="str">
        <x:v>website</x:v>
      </x:c>
      <x:c r="J32" s="12" t="str">
        <x:v>https://www.flow.cl/btn.php?token=khnkf1c</x:v>
      </x:c>
      <x:c r="K32" s="12" t="str">
        <x:v>https://www.flow.cl/btn.php?token=khnkf1c#2026-08-02T16:45</x:v>
      </x:c>
      <x:c r="L32" s="13" t="n">
        <x:v>46245.63486677083</x:v>
      </x:c>
      <x:c r="M32" s="12" t="str">
        <x:v>la-odisea:cine-arte-normandie:2026-08-02T20:45:00.000Z</x:v>
      </x:c>
      <x:c r="N32" s="8" t="str">
        <x:f>IF(E32&gt;='Resumen'!$B$8,"Próxima","Pasada")</x:f>
        <x:v>Pasada</x:v>
      </x:c>
    </x:row>
    <x:row r="33">
      <x:c r="A33" s="12" t="str">
        <x:v>Con ánimo de amar</x:v>
      </x:c>
      <x:c r="B33" s="12" t="str">
        <x:v>Cine Arte Normandie</x:v>
      </x:c>
      <x:c r="C33" s="8" t="str">
        <x:v>con-animo-de-amar</x:v>
      </x:c>
      <x:c r="D33" s="8" t="str">
        <x:v>cine-arte-normandie</x:v>
      </x:c>
      <x:c r="E33" s="9" t="n">
        <x:v>46236.5</x:v>
      </x:c>
      <x:c r="F33" s="10" t="n">
        <x:v>0.8333333333333334</x:v>
      </x:c>
      <x:c r="G33" s="11" t="n">
        <x:v>46237</x:v>
      </x:c>
      <x:c r="H33" s="8" t="str">
        <x:v>America/Santiago</x:v>
      </x:c>
      <x:c r="I33" s="8" t="str">
        <x:v>website</x:v>
      </x:c>
      <x:c r="J33" s="12" t="str">
        <x:v>https://www.flow.cl/btn.php?token=id1932d9aaa1653e7d723437e51da8fe2f8b837b</x:v>
      </x:c>
      <x:c r="K33" s="12" t="str">
        <x:v>https://www.flow.cl/btn.php?token=id1932d9aaa1653e7d723437e51da8fe2f8b837b#2026-08-02T20:00</x:v>
      </x:c>
      <x:c r="L33" s="13" t="n">
        <x:v>46245.63486677083</x:v>
      </x:c>
      <x:c r="M33" s="12" t="str">
        <x:v>con-animo-de-amar:cine-arte-normandie:2026-08-03T00:00:00.000Z</x:v>
      </x:c>
      <x:c r="N33" s="8" t="str">
        <x:f>IF(E33&gt;='Resumen'!$B$8,"Próxima","Pasada")</x:f>
        <x:v>Pasada</x:v>
      </x:c>
    </x:row>
    <x:row r="34">
      <x:c r="A34" s="12" t="str">
        <x:v>Función sorpresa</x:v>
      </x:c>
      <x:c r="B34" s="12" t="str">
        <x:v>Cine Arte Normandie</x:v>
      </x:c>
      <x:c r="C34" s="8" t="str">
        <x:v>funcion-sorpresa</x:v>
      </x:c>
      <x:c r="D34" s="8" t="str">
        <x:v>cine-arte-normandie</x:v>
      </x:c>
      <x:c r="E34" s="9" t="n">
        <x:v>46237.5</x:v>
      </x:c>
      <x:c r="F34" s="10" t="n">
        <x:v>0.625</x:v>
      </x:c>
      <x:c r="G34" s="11" t="n">
        <x:v>46237.791666666664</x:v>
      </x:c>
      <x:c r="H34" s="8" t="str">
        <x:v>America/Santiago</x:v>
      </x:c>
      <x:c r="I34" s="8" t="str">
        <x:v>website</x:v>
      </x:c>
      <x:c r="J34" s="12" t="str">
        <x:v>https://www.flow.cl/btn.php?token=cdc6qtm</x:v>
      </x:c>
      <x:c r="K34" s="12" t="str">
        <x:v>https://www.flow.cl/btn.php?token=cdc6qtm#2026-08-03T15:00</x:v>
      </x:c>
      <x:c r="L34" s="13" t="n">
        <x:v>46245.63486677083</x:v>
      </x:c>
      <x:c r="M34" s="12" t="str">
        <x:v>funcion-sorpresa:cine-arte-normandie:2026-08-03T19:00:00.000Z</x:v>
      </x:c>
      <x:c r="N34" s="8" t="str">
        <x:f>IF(E34&gt;='Resumen'!$B$8,"Próxima","Pasada")</x:f>
        <x:v>Pasada</x:v>
      </x:c>
    </x:row>
    <x:row r="35">
      <x:c r="A35" s="12" t="str">
        <x:v>León, el profesional</x:v>
      </x:c>
      <x:c r="B35" s="12" t="str">
        <x:v>Cine Arte Normandie</x:v>
      </x:c>
      <x:c r="C35" s="8" t="str">
        <x:v>leon-el-profesional</x:v>
      </x:c>
      <x:c r="D35" s="8" t="str">
        <x:v>cine-arte-normandie</x:v>
      </x:c>
      <x:c r="E35" s="9" t="n">
        <x:v>46237.5</x:v>
      </x:c>
      <x:c r="F35" s="10" t="n">
        <x:v>0.7222222222222222</x:v>
      </x:c>
      <x:c r="G35" s="11" t="n">
        <x:v>46237.88888888889</x:v>
      </x:c>
      <x:c r="H35" s="8" t="str">
        <x:v>America/Santiago</x:v>
      </x:c>
      <x:c r="I35" s="8" t="str">
        <x:v>website</x:v>
      </x:c>
      <x:c r="J35" s="12" t="str">
        <x:v>https://www.flow.cl/btn.php?token=z6ca70c201032f426d0f8d671bb8d95df7cd92d9</x:v>
      </x:c>
      <x:c r="K35" s="12" t="str">
        <x:v>https://www.flow.cl/btn.php?token=z6ca70c201032f426d0f8d671bb8d95df7cd92d9#2026-08-03T17:20</x:v>
      </x:c>
      <x:c r="L35" s="13" t="n">
        <x:v>46245.63486677083</x:v>
      </x:c>
      <x:c r="M35" s="12" t="str">
        <x:v>leon-el-profesional:cine-arte-normandie:2026-08-03T21:20:00.000Z</x:v>
      </x:c>
      <x:c r="N35" s="8" t="str">
        <x:f>IF(E35&gt;='Resumen'!$B$8,"Próxima","Pasada")</x:f>
        <x:v>Pasada</x:v>
      </x:c>
    </x:row>
    <x:row r="36">
      <x:c r="A36" s="12" t="str">
        <x:v>Obsesión</x:v>
      </x:c>
      <x:c r="B36" s="12" t="str">
        <x:v>Cine Arte Normandie</x:v>
      </x:c>
      <x:c r="C36" s="8" t="str">
        <x:v>obsesion</x:v>
      </x:c>
      <x:c r="D36" s="8" t="str">
        <x:v>cine-arte-normandie</x:v>
      </x:c>
      <x:c r="E36" s="9" t="n">
        <x:v>46237.5</x:v>
      </x:c>
      <x:c r="F36" s="10" t="n">
        <x:v>0.8125</x:v>
      </x:c>
      <x:c r="G36" s="11" t="n">
        <x:v>46237.979166666664</x:v>
      </x:c>
      <x:c r="H36" s="8" t="str">
        <x:v>America/Santiago</x:v>
      </x:c>
      <x:c r="I36" s="8" t="str">
        <x:v>website</x:v>
      </x:c>
      <x:c r="J36" s="12" t="str">
        <x:v>https://www.flow.cl/btn.php?token=ucceb51e8be7f65329f9901e5740b1b7efc2c84e</x:v>
      </x:c>
      <x:c r="K36" s="12" t="str">
        <x:v>https://www.flow.cl/btn.php?token=ucceb51e8be7f65329f9901e5740b1b7efc2c84e#2026-08-03T19:30</x:v>
      </x:c>
      <x:c r="L36" s="13" t="n">
        <x:v>46245.63486677083</x:v>
      </x:c>
      <x:c r="M36" s="12" t="str">
        <x:v>obsesion:cine-arte-normandie:2026-08-03T23:30:00.000Z</x:v>
      </x:c>
      <x:c r="N36" s="8" t="str">
        <x:f>IF(E36&gt;='Resumen'!$B$8,"Próxima","Pasada")</x:f>
        <x:v>Pasada</x:v>
      </x:c>
    </x:row>
    <x:row r="37">
      <x:c r="A37" s="12" t="str">
        <x:v>39 escalones</x:v>
      </x:c>
      <x:c r="B37" s="12" t="str">
        <x:v>Cine Arte Normandie</x:v>
      </x:c>
      <x:c r="C37" s="8" t="str">
        <x:v>39-escalones</x:v>
      </x:c>
      <x:c r="D37" s="8" t="str">
        <x:v>cine-arte-normandie</x:v>
      </x:c>
      <x:c r="E37" s="9" t="n">
        <x:v>46238.5</x:v>
      </x:c>
      <x:c r="F37" s="10" t="n">
        <x:v>0.625</x:v>
      </x:c>
      <x:c r="G37" s="11" t="n">
        <x:v>46238.791666666664</x:v>
      </x:c>
      <x:c r="H37" s="8" t="str">
        <x:v>America/Santiago</x:v>
      </x:c>
      <x:c r="I37" s="8" t="str">
        <x:v>website</x:v>
      </x:c>
      <x:c r="J37" s="12" t="str">
        <x:v>https://www.flow.cl/btn.php?token=wfmemnz</x:v>
      </x:c>
      <x:c r="K37" s="12" t="str">
        <x:v>https://www.flow.cl/btn.php?token=wfmemnz#2026-08-04T15:00</x:v>
      </x:c>
      <x:c r="L37" s="13" t="n">
        <x:v>46245.63486677083</x:v>
      </x:c>
      <x:c r="M37" s="12" t="str">
        <x:v>39-escalones:cine-arte-normandie:2026-08-04T19:00:00.000Z</x:v>
      </x:c>
      <x:c r="N37" s="8" t="str">
        <x:f>IF(E37&gt;='Resumen'!$B$8,"Próxima","Pasada")</x:f>
        <x:v>Pasada</x:v>
      </x:c>
    </x:row>
    <x:row r="38">
      <x:c r="A38" s="12" t="str">
        <x:v>La Odisea</x:v>
      </x:c>
      <x:c r="B38" s="12" t="str">
        <x:v>Cine Arte Normandie</x:v>
      </x:c>
      <x:c r="C38" s="8" t="str">
        <x:v>la-odisea</x:v>
      </x:c>
      <x:c r="D38" s="8" t="str">
        <x:v>cine-arte-normandie</x:v>
      </x:c>
      <x:c r="E38" s="9" t="n">
        <x:v>46238.5</x:v>
      </x:c>
      <x:c r="F38" s="10" t="n">
        <x:v>0.6979166666666666</x:v>
      </x:c>
      <x:c r="G38" s="11" t="n">
        <x:v>46238.864583333336</x:v>
      </x:c>
      <x:c r="H38" s="8" t="str">
        <x:v>America/Santiago</x:v>
      </x:c>
      <x:c r="I38" s="8" t="str">
        <x:v>website</x:v>
      </x:c>
      <x:c r="J38" s="12" t="str">
        <x:v>https://www.flow.cl/btn.php?token=c2isfkm</x:v>
      </x:c>
      <x:c r="K38" s="12" t="str">
        <x:v>https://www.flow.cl/btn.php?token=c2isfkm#2026-08-04T16:45</x:v>
      </x:c>
      <x:c r="L38" s="13" t="n">
        <x:v>46245.63486677083</x:v>
      </x:c>
      <x:c r="M38" s="12" t="str">
        <x:v>la-odisea:cine-arte-normandie:2026-08-04T20:45:00.000Z</x:v>
      </x:c>
      <x:c r="N38" s="8" t="str">
        <x:f>IF(E38&gt;='Resumen'!$B$8,"Próxima","Pasada")</x:f>
        <x:v>Pasada</x:v>
      </x:c>
    </x:row>
    <x:row r="39">
      <x:c r="A39" s="12" t="str">
        <x:v>Terciopelo azul</x:v>
      </x:c>
      <x:c r="B39" s="12" t="str">
        <x:v>Cine Arte Normandie</x:v>
      </x:c>
      <x:c r="C39" s="8" t="str">
        <x:v>terciopelo-azul</x:v>
      </x:c>
      <x:c r="D39" s="8" t="str">
        <x:v>cine-arte-normandie</x:v>
      </x:c>
      <x:c r="E39" s="9" t="n">
        <x:v>46238.5</x:v>
      </x:c>
      <x:c r="F39" s="10" t="n">
        <x:v>0.8333333333333334</x:v>
      </x:c>
      <x:c r="G39" s="11" t="n">
        <x:v>46239</x:v>
      </x:c>
      <x:c r="H39" s="8" t="str">
        <x:v>America/Santiago</x:v>
      </x:c>
      <x:c r="I39" s="8" t="str">
        <x:v>website</x:v>
      </x:c>
      <x:c r="J39" s="12" t="str">
        <x:v>https://www.flow.cl/btn.php?token=kuocfy4</x:v>
      </x:c>
      <x:c r="K39" s="12" t="str">
        <x:v>https://www.flow.cl/btn.php?token=kuocfy4#2026-08-04T20:00</x:v>
      </x:c>
      <x:c r="L39" s="13" t="n">
        <x:v>46245.63486677083</x:v>
      </x:c>
      <x:c r="M39" s="12" t="str">
        <x:v>terciopelo-azul:cine-arte-normandie:2026-08-05T00:00:00.000Z</x:v>
      </x:c>
      <x:c r="N39" s="8" t="str">
        <x:f>IF(E39&gt;='Resumen'!$B$8,"Próxima","Pasada")</x:f>
        <x:v>Pasada</x:v>
      </x:c>
    </x:row>
    <x:row r="40">
      <x:c r="A40" s="12" t="str">
        <x:v>Backrooms – Versión extendida</x:v>
      </x:c>
      <x:c r="B40" s="12" t="str">
        <x:v>Cine Arte Normandie</x:v>
      </x:c>
      <x:c r="C40" s="8" t="str">
        <x:v>backrooms-version-extendida</x:v>
      </x:c>
      <x:c r="D40" s="8" t="str">
        <x:v>cine-arte-normandie</x:v>
      </x:c>
      <x:c r="E40" s="9" t="n">
        <x:v>46239.5</x:v>
      </x:c>
      <x:c r="F40" s="10" t="n">
        <x:v>0.625</x:v>
      </x:c>
      <x:c r="G40" s="11" t="n">
        <x:v>46239.791666666664</x:v>
      </x:c>
      <x:c r="H40" s="8" t="str">
        <x:v>America/Santiago</x:v>
      </x:c>
      <x:c r="I40" s="8" t="str">
        <x:v>website</x:v>
      </x:c>
      <x:c r="J40" s="12" t="str">
        <x:v>https://www.flow.cl/btn.php?token=k400245a1577fe44720e84546221fc70fe1323eb</x:v>
      </x:c>
      <x:c r="K40" s="12" t="str">
        <x:v>https://www.flow.cl/btn.php?token=k400245a1577fe44720e84546221fc70fe1323eb#2026-08-05T15:00</x:v>
      </x:c>
      <x:c r="L40" s="13" t="n">
        <x:v>46245.63486677083</x:v>
      </x:c>
      <x:c r="M40" s="12" t="str">
        <x:v>backrooms-version-extendida:cine-arte-normandie:2026-08-05T19:00:00.000Z</x:v>
      </x:c>
      <x:c r="N40" s="8" t="str">
        <x:f>IF(E40&gt;='Resumen'!$B$8,"Próxima","Pasada")</x:f>
        <x:v>Pasada</x:v>
      </x:c>
    </x:row>
    <x:row r="41">
      <x:c r="A41" s="12" t="str">
        <x:v>Obsesión</x:v>
      </x:c>
      <x:c r="B41" s="12" t="str">
        <x:v>Cine Arte Normandie</x:v>
      </x:c>
      <x:c r="C41" s="8" t="str">
        <x:v>obsesion</x:v>
      </x:c>
      <x:c r="D41" s="8" t="str">
        <x:v>cine-arte-normandie</x:v>
      </x:c>
      <x:c r="E41" s="9" t="n">
        <x:v>46239.5</x:v>
      </x:c>
      <x:c r="F41" s="10" t="n">
        <x:v>0.7291666666666666</x:v>
      </x:c>
      <x:c r="G41" s="11" t="n">
        <x:v>46239.895833333336</x:v>
      </x:c>
      <x:c r="H41" s="8" t="str">
        <x:v>America/Santiago</x:v>
      </x:c>
      <x:c r="I41" s="8" t="str">
        <x:v>website</x:v>
      </x:c>
      <x:c r="J41" s="12" t="str">
        <x:v>https://www.flow.cl/btn.php?token=re0e6ed1d2f426a379cd3fd28ec9fe927eec0832</x:v>
      </x:c>
      <x:c r="K41" s="12" t="str">
        <x:v>https://www.flow.cl/btn.php?token=re0e6ed1d2f426a379cd3fd28ec9fe927eec0832#2026-08-05T17:30</x:v>
      </x:c>
      <x:c r="L41" s="13" t="n">
        <x:v>46245.63486677083</x:v>
      </x:c>
      <x:c r="M41" s="12" t="str">
        <x:v>obsesion:cine-arte-normandie:2026-08-05T21:30:00.000Z</x:v>
      </x:c>
      <x:c r="N41" s="8" t="str">
        <x:f>IF(E41&gt;='Resumen'!$B$8,"Próxima","Pasada")</x:f>
        <x:v>Pasada</x:v>
      </x:c>
    </x:row>
    <x:row r="42">
      <x:c r="A42" s="12" t="str">
        <x:v>El quinto elemento</x:v>
      </x:c>
      <x:c r="B42" s="12" t="str">
        <x:v>Cine Arte Normandie</x:v>
      </x:c>
      <x:c r="C42" s="8" t="str">
        <x:v>el-quinto-elemento</x:v>
      </x:c>
      <x:c r="D42" s="8" t="str">
        <x:v>cine-arte-normandie</x:v>
      </x:c>
      <x:c r="E42" s="9" t="n">
        <x:v>46239.5</x:v>
      </x:c>
      <x:c r="F42" s="10" t="n">
        <x:v>0.8125</x:v>
      </x:c>
      <x:c r="G42" s="11" t="n">
        <x:v>46239.979166666664</x:v>
      </x:c>
      <x:c r="H42" s="8" t="str">
        <x:v>America/Santiago</x:v>
      </x:c>
      <x:c r="I42" s="8" t="str">
        <x:v>website</x:v>
      </x:c>
      <x:c r="J42" s="12" t="str">
        <x:v>https://www.flow.cl/btn.php?token=2lkpvfx</x:v>
      </x:c>
      <x:c r="K42" s="12" t="str">
        <x:v>https://www.flow.cl/btn.php?token=2lkpvfx#2026-08-05T19:30</x:v>
      </x:c>
      <x:c r="L42" s="13" t="n">
        <x:v>46245.63486677083</x:v>
      </x:c>
      <x:c r="M42" s="12" t="str">
        <x:v>el-quinto-elemento:cine-arte-normandie:2026-08-05T23:30:00.000Z</x:v>
      </x:c>
      <x:c r="N42" s="8" t="str">
        <x:f>IF(E42&gt;='Resumen'!$B$8,"Próxima","Pasada")</x:f>
        <x:v>Pasada</x:v>
      </x:c>
    </x:row>
    <x:row r="43">
      <x:c r="A43" s="12" t="str">
        <x:v>La Invitación</x:v>
      </x:c>
      <x:c r="B43" s="12" t="str">
        <x:v>El Biógrafo</x:v>
      </x:c>
      <x:c r="C43" s="8" t="str">
        <x:v>la-invitacion</x:v>
      </x:c>
      <x:c r="D43" s="8" t="str">
        <x:v>el-biografo</x:v>
      </x:c>
      <x:c r="E43" s="9" t="n">
        <x:v>46240.5</x:v>
      </x:c>
      <x:c r="F43" s="10" t="n">
        <x:v>0.6458333333333334</x:v>
      </x:c>
      <x:c r="G43" s="11" t="n">
        <x:v>46240.8125</x:v>
      </x:c>
      <x:c r="H43" s="8" t="str">
        <x:v>America/Santiago</x:v>
      </x:c>
      <x:c r="I43" s="8" t="str">
        <x:v>website</x:v>
      </x:c>
      <x:c r="J43" s="12" t="str">
        <x:v>https://elbiografo.cl/</x:v>
      </x:c>
      <x:c r="K43" s="12" t="str">
        <x:v>La Invitación:2026-08-06T15:30</x:v>
      </x:c>
      <x:c r="L43" s="13" t="n">
        <x:v>46245.6350090625</x:v>
      </x:c>
      <x:c r="M43" s="12" t="str">
        <x:v>la-invitacion:el-biografo:2026-08-06T19:30:00.000Z</x:v>
      </x:c>
      <x:c r="N43" s="8" t="str">
        <x:f>IF(E43&gt;='Resumen'!$B$8,"Próxima","Pasada")</x:f>
        <x:v>Pasada</x:v>
      </x:c>
    </x:row>
    <x:row r="44">
      <x:c r="A44" s="12" t="str">
        <x:v>La Invitación</x:v>
      </x:c>
      <x:c r="B44" s="12" t="str">
        <x:v>El Biógrafo</x:v>
      </x:c>
      <x:c r="C44" s="8" t="str">
        <x:v>la-invitacion</x:v>
      </x:c>
      <x:c r="D44" s="8" t="str">
        <x:v>el-biografo</x:v>
      </x:c>
      <x:c r="E44" s="9" t="n">
        <x:v>46241.5</x:v>
      </x:c>
      <x:c r="F44" s="10" t="n">
        <x:v>0.6458333333333334</x:v>
      </x:c>
      <x:c r="G44" s="11" t="n">
        <x:v>46241.8125</x:v>
      </x:c>
      <x:c r="H44" s="8" t="str">
        <x:v>America/Santiago</x:v>
      </x:c>
      <x:c r="I44" s="8" t="str">
        <x:v>website</x:v>
      </x:c>
      <x:c r="J44" s="12" t="str">
        <x:v>https://elbiografo.cl/</x:v>
      </x:c>
      <x:c r="K44" s="12" t="str">
        <x:v>La Invitación:2026-08-07T15:30</x:v>
      </x:c>
      <x:c r="L44" s="13" t="n">
        <x:v>46245.6350090625</x:v>
      </x:c>
      <x:c r="M44" s="12" t="str">
        <x:v>la-invitacion:el-biografo:2026-08-07T19:30:00.000Z</x:v>
      </x:c>
      <x:c r="N44" s="8" t="str">
        <x:f>IF(E44&gt;='Resumen'!$B$8,"Próxima","Pasada")</x:f>
        <x:v>Pasada</x:v>
      </x:c>
    </x:row>
    <x:row r="45">
      <x:c r="A45" s="12" t="str">
        <x:v>La Invitación</x:v>
      </x:c>
      <x:c r="B45" s="12" t="str">
        <x:v>El Biógrafo</x:v>
      </x:c>
      <x:c r="C45" s="8" t="str">
        <x:v>la-invitacion</x:v>
      </x:c>
      <x:c r="D45" s="8" t="str">
        <x:v>el-biografo</x:v>
      </x:c>
      <x:c r="E45" s="9" t="n">
        <x:v>46242.5</x:v>
      </x:c>
      <x:c r="F45" s="10" t="n">
        <x:v>0.6458333333333334</x:v>
      </x:c>
      <x:c r="G45" s="11" t="n">
        <x:v>46242.8125</x:v>
      </x:c>
      <x:c r="H45" s="8" t="str">
        <x:v>America/Santiago</x:v>
      </x:c>
      <x:c r="I45" s="8" t="str">
        <x:v>website</x:v>
      </x:c>
      <x:c r="J45" s="12" t="str">
        <x:v>https://elbiografo.cl/</x:v>
      </x:c>
      <x:c r="K45" s="12" t="str">
        <x:v>La Invitación:2026-08-08T15:30</x:v>
      </x:c>
      <x:c r="L45" s="13" t="n">
        <x:v>46245.6350090625</x:v>
      </x:c>
      <x:c r="M45" s="12" t="str">
        <x:v>la-invitacion:el-biografo:2026-08-08T19:30:00.000Z</x:v>
      </x:c>
      <x:c r="N45" s="8" t="str">
        <x:f>IF(E45&gt;='Resumen'!$B$8,"Próxima","Pasada")</x:f>
        <x:v>Pasada</x:v>
      </x:c>
    </x:row>
    <x:row r="46">
      <x:c r="A46" s="12" t="str">
        <x:v>La Invitación</x:v>
      </x:c>
      <x:c r="B46" s="12" t="str">
        <x:v>El Biógrafo</x:v>
      </x:c>
      <x:c r="C46" s="8" t="str">
        <x:v>la-invitacion</x:v>
      </x:c>
      <x:c r="D46" s="8" t="str">
        <x:v>el-biografo</x:v>
      </x:c>
      <x:c r="E46" s="9" t="n">
        <x:v>46243.5</x:v>
      </x:c>
      <x:c r="F46" s="10" t="n">
        <x:v>0.6458333333333334</x:v>
      </x:c>
      <x:c r="G46" s="11" t="n">
        <x:v>46243.8125</x:v>
      </x:c>
      <x:c r="H46" s="8" t="str">
        <x:v>America/Santiago</x:v>
      </x:c>
      <x:c r="I46" s="8" t="str">
        <x:v>website</x:v>
      </x:c>
      <x:c r="J46" s="12" t="str">
        <x:v>https://elbiografo.cl/</x:v>
      </x:c>
      <x:c r="K46" s="12" t="str">
        <x:v>La Invitación:2026-08-09T15:30</x:v>
      </x:c>
      <x:c r="L46" s="13" t="n">
        <x:v>46245.6350090625</x:v>
      </x:c>
      <x:c r="M46" s="12" t="str">
        <x:v>la-invitacion:el-biografo:2026-08-09T19:30:00.000Z</x:v>
      </x:c>
      <x:c r="N46" s="8" t="str">
        <x:f>IF(E46&gt;='Resumen'!$B$8,"Próxima","Pasada")</x:f>
        <x:v>Pasada</x:v>
      </x:c>
    </x:row>
    <x:row r="47">
      <x:c r="A47" s="12" t="str">
        <x:v>La Invitación</x:v>
      </x:c>
      <x:c r="B47" s="12" t="str">
        <x:v>El Biógrafo</x:v>
      </x:c>
      <x:c r="C47" s="8" t="str">
        <x:v>la-invitacion</x:v>
      </x:c>
      <x:c r="D47" s="8" t="str">
        <x:v>el-biografo</x:v>
      </x:c>
      <x:c r="E47" s="9" t="n">
        <x:v>46244.5</x:v>
      </x:c>
      <x:c r="F47" s="10" t="n">
        <x:v>0.6458333333333334</x:v>
      </x:c>
      <x:c r="G47" s="11" t="n">
        <x:v>46244.8125</x:v>
      </x:c>
      <x:c r="H47" s="8" t="str">
        <x:v>America/Santiago</x:v>
      </x:c>
      <x:c r="I47" s="8" t="str">
        <x:v>website</x:v>
      </x:c>
      <x:c r="J47" s="12" t="str">
        <x:v>https://elbiografo.cl/</x:v>
      </x:c>
      <x:c r="K47" s="12" t="str">
        <x:v>La Invitación:2026-08-10T15:30</x:v>
      </x:c>
      <x:c r="L47" s="13" t="n">
        <x:v>46245.6350090625</x:v>
      </x:c>
      <x:c r="M47" s="12" t="str">
        <x:v>la-invitacion:el-biografo:2026-08-10T19:30:00.000Z</x:v>
      </x:c>
      <x:c r="N47" s="8" t="str">
        <x:f>IF(E47&gt;='Resumen'!$B$8,"Próxima","Pasada")</x:f>
        <x:v>Pasada</x:v>
      </x:c>
    </x:row>
    <x:row r="48">
      <x:c r="A48" s="12" t="str">
        <x:v>La Invitación</x:v>
      </x:c>
      <x:c r="B48" s="12" t="str">
        <x:v>El Biógrafo</x:v>
      </x:c>
      <x:c r="C48" s="8" t="str">
        <x:v>la-invitacion</x:v>
      </x:c>
      <x:c r="D48" s="8" t="str">
        <x:v>el-biografo</x:v>
      </x:c>
      <x:c r="E48" s="9" t="n">
        <x:v>46245.5</x:v>
      </x:c>
      <x:c r="F48" s="10" t="n">
        <x:v>0.6458333333333334</x:v>
      </x:c>
      <x:c r="G48" s="11" t="n">
        <x:v>46245.8125</x:v>
      </x:c>
      <x:c r="H48" s="8" t="str">
        <x:v>America/Santiago</x:v>
      </x:c>
      <x:c r="I48" s="8" t="str">
        <x:v>website</x:v>
      </x:c>
      <x:c r="J48" s="12" t="str">
        <x:v>https://elbiografo.cl/</x:v>
      </x:c>
      <x:c r="K48" s="12" t="str">
        <x:v>La Invitación:2026-08-11T15:30</x:v>
      </x:c>
      <x:c r="L48" s="13" t="n">
        <x:v>46245.6350090625</x:v>
      </x:c>
      <x:c r="M48" s="12" t="str">
        <x:v>la-invitacion:el-biografo:2026-08-11T19:30:00.000Z</x:v>
      </x:c>
      <x:c r="N48" s="8" t="str">
        <x:f>IF(E48&gt;='Resumen'!$B$8,"Próxima","Pasada")</x:f>
        <x:v>Próxima</x:v>
      </x:c>
    </x:row>
    <x:row r="49">
      <x:c r="A49" s="12" t="str">
        <x:v>La Invitación</x:v>
      </x:c>
      <x:c r="B49" s="12" t="str">
        <x:v>El Biógrafo</x:v>
      </x:c>
      <x:c r="C49" s="8" t="str">
        <x:v>la-invitacion</x:v>
      </x:c>
      <x:c r="D49" s="8" t="str">
        <x:v>el-biografo</x:v>
      </x:c>
      <x:c r="E49" s="9" t="n">
        <x:v>46246.5</x:v>
      </x:c>
      <x:c r="F49" s="10" t="n">
        <x:v>0.6458333333333334</x:v>
      </x:c>
      <x:c r="G49" s="11" t="n">
        <x:v>46246.8125</x:v>
      </x:c>
      <x:c r="H49" s="8" t="str">
        <x:v>America/Santiago</x:v>
      </x:c>
      <x:c r="I49" s="8" t="str">
        <x:v>website</x:v>
      </x:c>
      <x:c r="J49" s="12" t="str">
        <x:v>https://elbiografo.cl/</x:v>
      </x:c>
      <x:c r="K49" s="12" t="str">
        <x:v>La Invitación:2026-08-12T15:30</x:v>
      </x:c>
      <x:c r="L49" s="13" t="n">
        <x:v>46245.6350090625</x:v>
      </x:c>
      <x:c r="M49" s="12" t="str">
        <x:v>la-invitacion:el-biografo:2026-08-12T19:30:00.000Z</x:v>
      </x:c>
      <x:c r="N49" s="8" t="str">
        <x:f>IF(E49&gt;='Resumen'!$B$8,"Próxima","Pasada")</x:f>
        <x:v>Próxima</x:v>
      </x:c>
    </x:row>
    <x:row r="50">
      <x:c r="A50" s="12" t="str">
        <x:v>Diamanti</x:v>
      </x:c>
      <x:c r="B50" s="12" t="str">
        <x:v>El Biógrafo</x:v>
      </x:c>
      <x:c r="C50" s="8" t="str">
        <x:v>diamanti</x:v>
      </x:c>
      <x:c r="D50" s="8" t="str">
        <x:v>el-biografo</x:v>
      </x:c>
      <x:c r="E50" s="9" t="n">
        <x:v>46240.5</x:v>
      </x:c>
      <x:c r="F50" s="10" t="n">
        <x:v>0.75</x:v>
      </x:c>
      <x:c r="G50" s="11" t="n">
        <x:v>46240.916666666664</x:v>
      </x:c>
      <x:c r="H50" s="8" t="str">
        <x:v>America/Santiago</x:v>
      </x:c>
      <x:c r="I50" s="8" t="str">
        <x:v>website</x:v>
      </x:c>
      <x:c r="J50" s="12" t="str">
        <x:v>https://elbiografo.cl/</x:v>
      </x:c>
      <x:c r="K50" s="12" t="str">
        <x:v>Diamanti:2026-08-06T18:00</x:v>
      </x:c>
      <x:c r="L50" s="13" t="n">
        <x:v>46245.6350090625</x:v>
      </x:c>
      <x:c r="M50" s="12" t="str">
        <x:v>diamanti:el-biografo:2026-08-06T22:00:00.000Z</x:v>
      </x:c>
      <x:c r="N50" s="8" t="str">
        <x:f>IF(E50&gt;='Resumen'!$B$8,"Próxima","Pasada")</x:f>
        <x:v>Pasada</x:v>
      </x:c>
    </x:row>
    <x:row r="51">
      <x:c r="A51" s="12" t="str">
        <x:v>Diamanti</x:v>
      </x:c>
      <x:c r="B51" s="12" t="str">
        <x:v>El Biógrafo</x:v>
      </x:c>
      <x:c r="C51" s="8" t="str">
        <x:v>diamanti</x:v>
      </x:c>
      <x:c r="D51" s="8" t="str">
        <x:v>el-biografo</x:v>
      </x:c>
      <x:c r="E51" s="9" t="n">
        <x:v>46241.5</x:v>
      </x:c>
      <x:c r="F51" s="10" t="n">
        <x:v>0.75</x:v>
      </x:c>
      <x:c r="G51" s="11" t="n">
        <x:v>46241.916666666664</x:v>
      </x:c>
      <x:c r="H51" s="8" t="str">
        <x:v>America/Santiago</x:v>
      </x:c>
      <x:c r="I51" s="8" t="str">
        <x:v>website</x:v>
      </x:c>
      <x:c r="J51" s="12" t="str">
        <x:v>https://elbiografo.cl/</x:v>
      </x:c>
      <x:c r="K51" s="12" t="str">
        <x:v>Diamanti:2026-08-07T18:00</x:v>
      </x:c>
      <x:c r="L51" s="13" t="n">
        <x:v>46245.6350090625</x:v>
      </x:c>
      <x:c r="M51" s="12" t="str">
        <x:v>diamanti:el-biografo:2026-08-07T22:00:00.000Z</x:v>
      </x:c>
      <x:c r="N51" s="8" t="str">
        <x:f>IF(E51&gt;='Resumen'!$B$8,"Próxima","Pasada")</x:f>
        <x:v>Pasada</x:v>
      </x:c>
    </x:row>
    <x:row r="52">
      <x:c r="A52" s="12" t="str">
        <x:v>Diamanti</x:v>
      </x:c>
      <x:c r="B52" s="12" t="str">
        <x:v>El Biógrafo</x:v>
      </x:c>
      <x:c r="C52" s="8" t="str">
        <x:v>diamanti</x:v>
      </x:c>
      <x:c r="D52" s="8" t="str">
        <x:v>el-biografo</x:v>
      </x:c>
      <x:c r="E52" s="9" t="n">
        <x:v>46242.5</x:v>
      </x:c>
      <x:c r="F52" s="10" t="n">
        <x:v>0.75</x:v>
      </x:c>
      <x:c r="G52" s="11" t="n">
        <x:v>46242.916666666664</x:v>
      </x:c>
      <x:c r="H52" s="8" t="str">
        <x:v>America/Santiago</x:v>
      </x:c>
      <x:c r="I52" s="8" t="str">
        <x:v>website</x:v>
      </x:c>
      <x:c r="J52" s="12" t="str">
        <x:v>https://elbiografo.cl/</x:v>
      </x:c>
      <x:c r="K52" s="12" t="str">
        <x:v>Diamanti:2026-08-08T18:00</x:v>
      </x:c>
      <x:c r="L52" s="13" t="n">
        <x:v>46245.6350090625</x:v>
      </x:c>
      <x:c r="M52" s="12" t="str">
        <x:v>diamanti:el-biografo:2026-08-08T22:00:00.000Z</x:v>
      </x:c>
      <x:c r="N52" s="8" t="str">
        <x:f>IF(E52&gt;='Resumen'!$B$8,"Próxima","Pasada")</x:f>
        <x:v>Pasada</x:v>
      </x:c>
    </x:row>
    <x:row r="53">
      <x:c r="A53" s="12" t="str">
        <x:v>Diamanti</x:v>
      </x:c>
      <x:c r="B53" s="12" t="str">
        <x:v>El Biógrafo</x:v>
      </x:c>
      <x:c r="C53" s="8" t="str">
        <x:v>diamanti</x:v>
      </x:c>
      <x:c r="D53" s="8" t="str">
        <x:v>el-biografo</x:v>
      </x:c>
      <x:c r="E53" s="9" t="n">
        <x:v>46243.5</x:v>
      </x:c>
      <x:c r="F53" s="10" t="n">
        <x:v>0.75</x:v>
      </x:c>
      <x:c r="G53" s="11" t="n">
        <x:v>46243.916666666664</x:v>
      </x:c>
      <x:c r="H53" s="8" t="str">
        <x:v>America/Santiago</x:v>
      </x:c>
      <x:c r="I53" s="8" t="str">
        <x:v>website</x:v>
      </x:c>
      <x:c r="J53" s="12" t="str">
        <x:v>https://elbiografo.cl/</x:v>
      </x:c>
      <x:c r="K53" s="12" t="str">
        <x:v>Diamanti:2026-08-09T18:00</x:v>
      </x:c>
      <x:c r="L53" s="13" t="n">
        <x:v>46245.6350090625</x:v>
      </x:c>
      <x:c r="M53" s="12" t="str">
        <x:v>diamanti:el-biografo:2026-08-09T22:00:00.000Z</x:v>
      </x:c>
      <x:c r="N53" s="8" t="str">
        <x:f>IF(E53&gt;='Resumen'!$B$8,"Próxima","Pasada")</x:f>
        <x:v>Pasada</x:v>
      </x:c>
    </x:row>
    <x:row r="54">
      <x:c r="A54" s="12" t="str">
        <x:v>Diamanti</x:v>
      </x:c>
      <x:c r="B54" s="12" t="str">
        <x:v>El Biógrafo</x:v>
      </x:c>
      <x:c r="C54" s="8" t="str">
        <x:v>diamanti</x:v>
      </x:c>
      <x:c r="D54" s="8" t="str">
        <x:v>el-biografo</x:v>
      </x:c>
      <x:c r="E54" s="9" t="n">
        <x:v>46244.5</x:v>
      </x:c>
      <x:c r="F54" s="10" t="n">
        <x:v>0.75</x:v>
      </x:c>
      <x:c r="G54" s="11" t="n">
        <x:v>46244.916666666664</x:v>
      </x:c>
      <x:c r="H54" s="8" t="str">
        <x:v>America/Santiago</x:v>
      </x:c>
      <x:c r="I54" s="8" t="str">
        <x:v>website</x:v>
      </x:c>
      <x:c r="J54" s="12" t="str">
        <x:v>https://elbiografo.cl/</x:v>
      </x:c>
      <x:c r="K54" s="12" t="str">
        <x:v>Diamanti:2026-08-10T18:00</x:v>
      </x:c>
      <x:c r="L54" s="13" t="n">
        <x:v>46245.6350090625</x:v>
      </x:c>
      <x:c r="M54" s="12" t="str">
        <x:v>diamanti:el-biografo:2026-08-10T22:00:00.000Z</x:v>
      </x:c>
      <x:c r="N54" s="8" t="str">
        <x:f>IF(E54&gt;='Resumen'!$B$8,"Próxima","Pasada")</x:f>
        <x:v>Pasada</x:v>
      </x:c>
    </x:row>
    <x:row r="55">
      <x:c r="A55" s="12" t="str">
        <x:v>Diamanti</x:v>
      </x:c>
      <x:c r="B55" s="12" t="str">
        <x:v>El Biógrafo</x:v>
      </x:c>
      <x:c r="C55" s="8" t="str">
        <x:v>diamanti</x:v>
      </x:c>
      <x:c r="D55" s="8" t="str">
        <x:v>el-biografo</x:v>
      </x:c>
      <x:c r="E55" s="9" t="n">
        <x:v>46245.5</x:v>
      </x:c>
      <x:c r="F55" s="10" t="n">
        <x:v>0.75</x:v>
      </x:c>
      <x:c r="G55" s="11" t="n">
        <x:v>46245.916666666664</x:v>
      </x:c>
      <x:c r="H55" s="8" t="str">
        <x:v>America/Santiago</x:v>
      </x:c>
      <x:c r="I55" s="8" t="str">
        <x:v>website</x:v>
      </x:c>
      <x:c r="J55" s="12" t="str">
        <x:v>https://elbiografo.cl/</x:v>
      </x:c>
      <x:c r="K55" s="12" t="str">
        <x:v>Diamanti:2026-08-11T18:00</x:v>
      </x:c>
      <x:c r="L55" s="13" t="n">
        <x:v>46245.6350090625</x:v>
      </x:c>
      <x:c r="M55" s="12" t="str">
        <x:v>diamanti:el-biografo:2026-08-11T22:00:00.000Z</x:v>
      </x:c>
      <x:c r="N55" s="8" t="str">
        <x:f>IF(E55&gt;='Resumen'!$B$8,"Próxima","Pasada")</x:f>
        <x:v>Próxima</x:v>
      </x:c>
    </x:row>
    <x:row r="56">
      <x:c r="A56" s="12" t="str">
        <x:v>Diamanti</x:v>
      </x:c>
      <x:c r="B56" s="12" t="str">
        <x:v>El Biógrafo</x:v>
      </x:c>
      <x:c r="C56" s="8" t="str">
        <x:v>diamanti</x:v>
      </x:c>
      <x:c r="D56" s="8" t="str">
        <x:v>el-biografo</x:v>
      </x:c>
      <x:c r="E56" s="9" t="n">
        <x:v>46246.5</x:v>
      </x:c>
      <x:c r="F56" s="10" t="n">
        <x:v>0.75</x:v>
      </x:c>
      <x:c r="G56" s="11" t="n">
        <x:v>46246.916666666664</x:v>
      </x:c>
      <x:c r="H56" s="8" t="str">
        <x:v>America/Santiago</x:v>
      </x:c>
      <x:c r="I56" s="8" t="str">
        <x:v>website</x:v>
      </x:c>
      <x:c r="J56" s="12" t="str">
        <x:v>https://elbiografo.cl/</x:v>
      </x:c>
      <x:c r="K56" s="12" t="str">
        <x:v>Diamanti:2026-08-12T18:00</x:v>
      </x:c>
      <x:c r="L56" s="13" t="n">
        <x:v>46245.6350090625</x:v>
      </x:c>
      <x:c r="M56" s="12" t="str">
        <x:v>diamanti:el-biografo:2026-08-12T22:00:00.000Z</x:v>
      </x:c>
      <x:c r="N56" s="8" t="str">
        <x:f>IF(E56&gt;='Resumen'!$B$8,"Próxima","Pasada")</x:f>
        <x:v>Próxima</x:v>
      </x:c>
    </x:row>
    <x:row r="57">
      <x:c r="A57" s="12" t="str">
        <x:v>La Invitación</x:v>
      </x:c>
      <x:c r="B57" s="12" t="str">
        <x:v>El Biógrafo</x:v>
      </x:c>
      <x:c r="C57" s="8" t="str">
        <x:v>la-invitacion</x:v>
      </x:c>
      <x:c r="D57" s="8" t="str">
        <x:v>el-biografo</x:v>
      </x:c>
      <x:c r="E57" s="9" t="n">
        <x:v>46240.5</x:v>
      </x:c>
      <x:c r="F57" s="10" t="n">
        <x:v>0.84375</x:v>
      </x:c>
      <x:c r="G57" s="11" t="n">
        <x:v>46241.010416666664</x:v>
      </x:c>
      <x:c r="H57" s="8" t="str">
        <x:v>America/Santiago</x:v>
      </x:c>
      <x:c r="I57" s="8" t="str">
        <x:v>website</x:v>
      </x:c>
      <x:c r="J57" s="12" t="str">
        <x:v>https://elbiografo.cl/</x:v>
      </x:c>
      <x:c r="K57" s="12" t="str">
        <x:v>La Invitación:2026-08-06T20:15</x:v>
      </x:c>
      <x:c r="L57" s="13" t="n">
        <x:v>46245.6350090625</x:v>
      </x:c>
      <x:c r="M57" s="12" t="str">
        <x:v>la-invitacion:el-biografo:2026-08-07T00:15:00.000Z</x:v>
      </x:c>
      <x:c r="N57" s="8" t="str">
        <x:f>IF(E57&gt;='Resumen'!$B$8,"Próxima","Pasada")</x:f>
        <x:v>Pasada</x:v>
      </x:c>
    </x:row>
    <x:row r="58">
      <x:c r="A58" s="12" t="str">
        <x:v>La Invitación</x:v>
      </x:c>
      <x:c r="B58" s="12" t="str">
        <x:v>El Biógrafo</x:v>
      </x:c>
      <x:c r="C58" s="8" t="str">
        <x:v>la-invitacion</x:v>
      </x:c>
      <x:c r="D58" s="8" t="str">
        <x:v>el-biografo</x:v>
      </x:c>
      <x:c r="E58" s="9" t="n">
        <x:v>46241.5</x:v>
      </x:c>
      <x:c r="F58" s="10" t="n">
        <x:v>0.84375</x:v>
      </x:c>
      <x:c r="G58" s="11" t="n">
        <x:v>46242.010416666664</x:v>
      </x:c>
      <x:c r="H58" s="8" t="str">
        <x:v>America/Santiago</x:v>
      </x:c>
      <x:c r="I58" s="8" t="str">
        <x:v>website</x:v>
      </x:c>
      <x:c r="J58" s="12" t="str">
        <x:v>https://elbiografo.cl/</x:v>
      </x:c>
      <x:c r="K58" s="12" t="str">
        <x:v>La Invitación:2026-08-07T20:15</x:v>
      </x:c>
      <x:c r="L58" s="13" t="n">
        <x:v>46245.6350090625</x:v>
      </x:c>
      <x:c r="M58" s="12" t="str">
        <x:v>la-invitacion:el-biografo:2026-08-08T00:15:00.000Z</x:v>
      </x:c>
      <x:c r="N58" s="8" t="str">
        <x:f>IF(E58&gt;='Resumen'!$B$8,"Próxima","Pasada")</x:f>
        <x:v>Pasada</x:v>
      </x:c>
    </x:row>
    <x:row r="59">
      <x:c r="A59" s="12" t="str">
        <x:v>La Invitación</x:v>
      </x:c>
      <x:c r="B59" s="12" t="str">
        <x:v>El Biógrafo</x:v>
      </x:c>
      <x:c r="C59" s="8" t="str">
        <x:v>la-invitacion</x:v>
      </x:c>
      <x:c r="D59" s="8" t="str">
        <x:v>el-biografo</x:v>
      </x:c>
      <x:c r="E59" s="9" t="n">
        <x:v>46242.5</x:v>
      </x:c>
      <x:c r="F59" s="10" t="n">
        <x:v>0.84375</x:v>
      </x:c>
      <x:c r="G59" s="11" t="n">
        <x:v>46243.010416666664</x:v>
      </x:c>
      <x:c r="H59" s="8" t="str">
        <x:v>America/Santiago</x:v>
      </x:c>
      <x:c r="I59" s="8" t="str">
        <x:v>website</x:v>
      </x:c>
      <x:c r="J59" s="12" t="str">
        <x:v>https://elbiografo.cl/</x:v>
      </x:c>
      <x:c r="K59" s="12" t="str">
        <x:v>La Invitación:2026-08-08T20:15</x:v>
      </x:c>
      <x:c r="L59" s="13" t="n">
        <x:v>46245.6350090625</x:v>
      </x:c>
      <x:c r="M59" s="12" t="str">
        <x:v>la-invitacion:el-biografo:2026-08-09T00:15:00.000Z</x:v>
      </x:c>
      <x:c r="N59" s="8" t="str">
        <x:f>IF(E59&gt;='Resumen'!$B$8,"Próxima","Pasada")</x:f>
        <x:v>Pasada</x:v>
      </x:c>
    </x:row>
    <x:row r="60">
      <x:c r="A60" s="12" t="str">
        <x:v>La Invitación</x:v>
      </x:c>
      <x:c r="B60" s="12" t="str">
        <x:v>El Biógrafo</x:v>
      </x:c>
      <x:c r="C60" s="8" t="str">
        <x:v>la-invitacion</x:v>
      </x:c>
      <x:c r="D60" s="8" t="str">
        <x:v>el-biografo</x:v>
      </x:c>
      <x:c r="E60" s="9" t="n">
        <x:v>46243.5</x:v>
      </x:c>
      <x:c r="F60" s="10" t="n">
        <x:v>0.84375</x:v>
      </x:c>
      <x:c r="G60" s="11" t="n">
        <x:v>46244.010416666664</x:v>
      </x:c>
      <x:c r="H60" s="8" t="str">
        <x:v>America/Santiago</x:v>
      </x:c>
      <x:c r="I60" s="8" t="str">
        <x:v>website</x:v>
      </x:c>
      <x:c r="J60" s="12" t="str">
        <x:v>https://elbiografo.cl/</x:v>
      </x:c>
      <x:c r="K60" s="12" t="str">
        <x:v>La Invitación:2026-08-09T20:15</x:v>
      </x:c>
      <x:c r="L60" s="13" t="n">
        <x:v>46245.6350090625</x:v>
      </x:c>
      <x:c r="M60" s="12" t="str">
        <x:v>la-invitacion:el-biografo:2026-08-10T00:15:00.000Z</x:v>
      </x:c>
      <x:c r="N60" s="8" t="str">
        <x:f>IF(E60&gt;='Resumen'!$B$8,"Próxima","Pasada")</x:f>
        <x:v>Pasada</x:v>
      </x:c>
    </x:row>
    <x:row r="61">
      <x:c r="A61" s="12" t="str">
        <x:v>La Invitación</x:v>
      </x:c>
      <x:c r="B61" s="12" t="str">
        <x:v>El Biógrafo</x:v>
      </x:c>
      <x:c r="C61" s="8" t="str">
        <x:v>la-invitacion</x:v>
      </x:c>
      <x:c r="D61" s="8" t="str">
        <x:v>el-biografo</x:v>
      </x:c>
      <x:c r="E61" s="9" t="n">
        <x:v>46244.5</x:v>
      </x:c>
      <x:c r="F61" s="10" t="n">
        <x:v>0.84375</x:v>
      </x:c>
      <x:c r="G61" s="11" t="n">
        <x:v>46245.010416666664</x:v>
      </x:c>
      <x:c r="H61" s="8" t="str">
        <x:v>America/Santiago</x:v>
      </x:c>
      <x:c r="I61" s="8" t="str">
        <x:v>website</x:v>
      </x:c>
      <x:c r="J61" s="12" t="str">
        <x:v>https://elbiografo.cl/</x:v>
      </x:c>
      <x:c r="K61" s="12" t="str">
        <x:v>La Invitación:2026-08-10T20:15</x:v>
      </x:c>
      <x:c r="L61" s="13" t="n">
        <x:v>46245.6350090625</x:v>
      </x:c>
      <x:c r="M61" s="12" t="str">
        <x:v>la-invitacion:el-biografo:2026-08-11T00:15:00.000Z</x:v>
      </x:c>
      <x:c r="N61" s="8" t="str">
        <x:f>IF(E61&gt;='Resumen'!$B$8,"Próxima","Pasada")</x:f>
        <x:v>Pasada</x:v>
      </x:c>
    </x:row>
    <x:row r="62">
      <x:c r="A62" s="12" t="str">
        <x:v>La Invitación</x:v>
      </x:c>
      <x:c r="B62" s="12" t="str">
        <x:v>El Biógrafo</x:v>
      </x:c>
      <x:c r="C62" s="8" t="str">
        <x:v>la-invitacion</x:v>
      </x:c>
      <x:c r="D62" s="8" t="str">
        <x:v>el-biografo</x:v>
      </x:c>
      <x:c r="E62" s="9" t="n">
        <x:v>46245.5</x:v>
      </x:c>
      <x:c r="F62" s="10" t="n">
        <x:v>0.84375</x:v>
      </x:c>
      <x:c r="G62" s="11" t="n">
        <x:v>46246.010416666664</x:v>
      </x:c>
      <x:c r="H62" s="8" t="str">
        <x:v>America/Santiago</x:v>
      </x:c>
      <x:c r="I62" s="8" t="str">
        <x:v>website</x:v>
      </x:c>
      <x:c r="J62" s="12" t="str">
        <x:v>https://elbiografo.cl/</x:v>
      </x:c>
      <x:c r="K62" s="12" t="str">
        <x:v>La Invitación:2026-08-11T20:15</x:v>
      </x:c>
      <x:c r="L62" s="13" t="n">
        <x:v>46245.6350090625</x:v>
      </x:c>
      <x:c r="M62" s="12" t="str">
        <x:v>la-invitacion:el-biografo:2026-08-12T00:15:00.000Z</x:v>
      </x:c>
      <x:c r="N62" s="8" t="str">
        <x:f>IF(E62&gt;='Resumen'!$B$8,"Próxima","Pasada")</x:f>
        <x:v>Próxima</x:v>
      </x:c>
    </x:row>
    <x:row r="63">
      <x:c r="A63" s="12" t="str">
        <x:v>La Invitación</x:v>
      </x:c>
      <x:c r="B63" s="12" t="str">
        <x:v>El Biógrafo</x:v>
      </x:c>
      <x:c r="C63" s="8" t="str">
        <x:v>la-invitacion</x:v>
      </x:c>
      <x:c r="D63" s="8" t="str">
        <x:v>el-biografo</x:v>
      </x:c>
      <x:c r="E63" s="9" t="n">
        <x:v>46246.5</x:v>
      </x:c>
      <x:c r="F63" s="10" t="n">
        <x:v>0.84375</x:v>
      </x:c>
      <x:c r="G63" s="11" t="n">
        <x:v>46247.010416666664</x:v>
      </x:c>
      <x:c r="H63" s="8" t="str">
        <x:v>America/Santiago</x:v>
      </x:c>
      <x:c r="I63" s="8" t="str">
        <x:v>website</x:v>
      </x:c>
      <x:c r="J63" s="12" t="str">
        <x:v>https://elbiografo.cl/</x:v>
      </x:c>
      <x:c r="K63" s="12" t="str">
        <x:v>La Invitación:2026-08-12T20:15</x:v>
      </x:c>
      <x:c r="L63" s="13" t="n">
        <x:v>46245.6350090625</x:v>
      </x:c>
      <x:c r="M63" s="12" t="str">
        <x:v>la-invitacion:el-biografo:2026-08-13T00:15:00.000Z</x:v>
      </x:c>
      <x:c r="N63" s="8" t="str">
        <x:f>IF(E63&gt;='Resumen'!$B$8,"Próxima","Pasada")</x:f>
        <x:v>Próxima</x:v>
      </x:c>
    </x:row>
    <x:row r="64">
      <x:c r="A64" s="12" t="str">
        <x:v>Heals</x:v>
      </x:c>
      <x:c r="B64" s="12" t="str">
        <x:v>Campus El Claustro, U. Mayor</x:v>
      </x:c>
      <x:c r="C64" s="8" t="str">
        <x:v>heals</x:v>
      </x:c>
      <x:c r="D64" s="8" t="str">
        <x:v>campus-el-claustro-u-mayor</x:v>
      </x:c>
      <x:c r="E64" s="9" t="n">
        <x:v>46256.5</x:v>
      </x:c>
      <x:c r="F64" s="10" t="n">
        <x:v>0.8125</x:v>
      </x:c>
      <x:c r="G64" s="11" t="n">
        <x:v>46256.979166666664</x:v>
      </x:c>
      <x:c r="H64" s="8" t="str">
        <x:v>America/Santiago</x:v>
      </x:c>
      <x:c r="I64" s="8" t="str">
        <x:v>website</x:v>
      </x:c>
      <x:c r="J64" s="12" t="str">
        <x:v>https://salak.cl/pelicula/festival-de-cine-tailandes-heals/</x:v>
      </x:c>
      <x:c r="K64" s="12" t="str">
        <x:v>https://salak.cl/pelicula/festival-de-cine-tailandes-heals/#2026-08-22T19:30</x:v>
      </x:c>
      <x:c r="L64" s="13" t="n">
        <x:v>46245.635043738424</x:v>
      </x:c>
      <x:c r="M64" s="12" t="str">
        <x:v>heals:campus-el-claustro-u-mayor:2026-08-22T23:30:00.000Z</x:v>
      </x:c>
      <x:c r="N64" s="8" t="str">
        <x:f>IF(E64&gt;='Resumen'!$B$8,"Próxima","Pasada")</x:f>
        <x:v>Próxima</x:v>
      </x:c>
    </x:row>
    <x:row r="65">
      <x:c r="A65" s="12" t="str">
        <x:v>Morte Cucina</x:v>
      </x:c>
      <x:c r="B65" s="12" t="str">
        <x:v>Campus El Claustro, U. Mayor</x:v>
      </x:c>
      <x:c r="C65" s="8" t="str">
        <x:v>morte-cucina</x:v>
      </x:c>
      <x:c r="D65" s="8" t="str">
        <x:v>campus-el-claustro-u-mayor</x:v>
      </x:c>
      <x:c r="E65" s="9" t="n">
        <x:v>46255.5</x:v>
      </x:c>
      <x:c r="F65" s="10" t="n">
        <x:v>0.7916666666666666</x:v>
      </x:c>
      <x:c r="G65" s="11" t="n">
        <x:v>46255.958333333336</x:v>
      </x:c>
      <x:c r="H65" s="8" t="str">
        <x:v>America/Santiago</x:v>
      </x:c>
      <x:c r="I65" s="8" t="str">
        <x:v>website</x:v>
      </x:c>
      <x:c r="J65" s="12" t="str">
        <x:v>https://salak.cl/pelicula/festival-de-cine-tailandes-morte-cucina/</x:v>
      </x:c>
      <x:c r="K65" s="12" t="str">
        <x:v>https://salak.cl/pelicula/festival-de-cine-tailandes-morte-cucina/#2026-08-21T19:00</x:v>
      </x:c>
      <x:c r="L65" s="13" t="n">
        <x:v>46245.635065208335</x:v>
      </x:c>
      <x:c r="M65" s="12" t="str">
        <x:v>morte-cucina:campus-el-claustro-u-mayor:2026-08-21T23:00:00.000Z</x:v>
      </x:c>
      <x:c r="N65" s="8" t="str">
        <x:f>IF(E65&gt;='Resumen'!$B$8,"Próxima","Pasada")</x:f>
        <x:v>Próxima</x:v>
      </x:c>
    </x:row>
    <x:row r="66">
      <x:c r="A66" s="12" t="str">
        <x:v>¿Quién quiere ser millonario?</x:v>
      </x:c>
      <x:c r="B66" s="12" t="str">
        <x:v>Casa de la Cultura</x:v>
      </x:c>
      <x:c r="C66" s="8" t="str">
        <x:v>quien-quiere-ser-millonario</x:v>
      </x:c>
      <x:c r="D66" s="8" t="str">
        <x:v>casa-de-la-cultura</x:v>
      </x:c>
      <x:c r="E66" s="9" t="n">
        <x:v>46254.5</x:v>
      </x:c>
      <x:c r="F66" s="10" t="n">
        <x:v>0.7916666666666666</x:v>
      </x:c>
      <x:c r="G66" s="11" t="n">
        <x:v>46254.958333333336</x:v>
      </x:c>
      <x:c r="H66" s="8" t="str">
        <x:v>America/Santiago</x:v>
      </x:c>
      <x:c r="I66" s="8" t="str">
        <x:v>website</x:v>
      </x:c>
      <x:c r="J66" s="12" t="str">
        <x:v>https://salak.cl/pelicula/quien-quiere-ser-millonario/</x:v>
      </x:c>
      <x:c r="K66" s="12" t="str">
        <x:v>https://salak.cl/pelicula/quien-quiere-ser-millonario/#2026-08-20T19:00</x:v>
      </x:c>
      <x:c r="L66" s="13" t="n">
        <x:v>46245.635080914355</x:v>
      </x:c>
      <x:c r="M66" s="12" t="str">
        <x:v>quien-quiere-ser-millonario:casa-de-la-cultura:2026-08-20T23:00:00.000Z</x:v>
      </x:c>
      <x:c r="N66" s="8" t="str">
        <x:f>IF(E66&gt;='Resumen'!$B$8,"Próxima","Pasada")</x:f>
        <x:v>Próxima</x:v>
      </x:c>
    </x:row>
    <x:row r="67">
      <x:c r="A67" s="12" t="str">
        <x:v>El final de la calle Oak</x:v>
      </x:c>
      <x:c r="B67" s="12" t="str">
        <x:v>Campus El Claustro, U. Mayor</x:v>
      </x:c>
      <x:c r="C67" s="8" t="str">
        <x:v>el-final-de-la-calle-oak</x:v>
      </x:c>
      <x:c r="D67" s="8" t="str">
        <x:v>campus-el-claustro-u-mayor</x:v>
      </x:c>
      <x:c r="E67" s="9" t="n">
        <x:v>46253.5</x:v>
      </x:c>
      <x:c r="F67" s="10" t="n">
        <x:v>0.7916666666666666</x:v>
      </x:c>
      <x:c r="G67" s="11" t="n">
        <x:v>46253.958333333336</x:v>
      </x:c>
      <x:c r="H67" s="8" t="str">
        <x:v>America/Santiago</x:v>
      </x:c>
      <x:c r="I67" s="8" t="str">
        <x:v>website</x:v>
      </x:c>
      <x:c r="J67" s="12" t="str">
        <x:v>https://salak.cl/pelicula/el-final-de-la-calle-oak/</x:v>
      </x:c>
      <x:c r="K67" s="12" t="str">
        <x:v>https://salak.cl/pelicula/el-final-de-la-calle-oak/#2026-08-19T19:00</x:v>
      </x:c>
      <x:c r="L67" s="13" t="n">
        <x:v>46245.63509747685</x:v>
      </x:c>
      <x:c r="M67" s="12" t="str">
        <x:v>el-final-de-la-calle-oak:campus-el-claustro-u-mayor:2026-08-19T23:00:00.000Z</x:v>
      </x:c>
      <x:c r="N67" s="8" t="str">
        <x:f>IF(E67&gt;='Resumen'!$B$8,"Próxima","Pasada")</x:f>
        <x:v>Próxima</x:v>
      </x:c>
    </x:row>
    <x:row r="68">
      <x:c r="A68" s="12" t="str">
        <x:v>El final de la calle Oak</x:v>
      </x:c>
      <x:c r="B68" s="12" t="str">
        <x:v>Campus El Claustro, U. Mayor</x:v>
      </x:c>
      <x:c r="C68" s="8" t="str">
        <x:v>el-final-de-la-calle-oak</x:v>
      </x:c>
      <x:c r="D68" s="8" t="str">
        <x:v>campus-el-claustro-u-mayor</x:v>
      </x:c>
      <x:c r="E68" s="9" t="n">
        <x:v>46255.5</x:v>
      </x:c>
      <x:c r="F68" s="10" t="n">
        <x:v>0.7083333333333334</x:v>
      </x:c>
      <x:c r="G68" s="11" t="n">
        <x:v>46255.875</x:v>
      </x:c>
      <x:c r="H68" s="8" t="str">
        <x:v>America/Santiago</x:v>
      </x:c>
      <x:c r="I68" s="8" t="str">
        <x:v>website</x:v>
      </x:c>
      <x:c r="J68" s="12" t="str">
        <x:v>https://salak.cl/pelicula/el-final-de-la-calle-oak/</x:v>
      </x:c>
      <x:c r="K68" s="12" t="str">
        <x:v>https://salak.cl/pelicula/el-final-de-la-calle-oak/#2026-08-21T17:00</x:v>
      </x:c>
      <x:c r="L68" s="13" t="n">
        <x:v>46245.63509747685</x:v>
      </x:c>
      <x:c r="M68" s="12" t="str">
        <x:v>el-final-de-la-calle-oak:campus-el-claustro-u-mayor:2026-08-21T21:00:00.000Z</x:v>
      </x:c>
      <x:c r="N68" s="8" t="str">
        <x:f>IF(E68&gt;='Resumen'!$B$8,"Próxima","Pasada")</x:f>
        <x:v>Próxima</x:v>
      </x:c>
    </x:row>
    <x:row r="69">
      <x:c r="A69" s="12" t="str">
        <x:v>El final de la calle Oak</x:v>
      </x:c>
      <x:c r="B69" s="12" t="str">
        <x:v>Campus El Claustro, U. Mayor</x:v>
      </x:c>
      <x:c r="C69" s="8" t="str">
        <x:v>el-final-de-la-calle-oak</x:v>
      </x:c>
      <x:c r="D69" s="8" t="str">
        <x:v>campus-el-claustro-u-mayor</x:v>
      </x:c>
      <x:c r="E69" s="9" t="n">
        <x:v>46260.5</x:v>
      </x:c>
      <x:c r="F69" s="10" t="n">
        <x:v>0.8125</x:v>
      </x:c>
      <x:c r="G69" s="11" t="n">
        <x:v>46260.979166666664</x:v>
      </x:c>
      <x:c r="H69" s="8" t="str">
        <x:v>America/Santiago</x:v>
      </x:c>
      <x:c r="I69" s="8" t="str">
        <x:v>website</x:v>
      </x:c>
      <x:c r="J69" s="12" t="str">
        <x:v>https://salak.cl/pelicula/el-final-de-la-calle-oak/</x:v>
      </x:c>
      <x:c r="K69" s="12" t="str">
        <x:v>https://salak.cl/pelicula/el-final-de-la-calle-oak/#2026-08-26T19:30</x:v>
      </x:c>
      <x:c r="L69" s="13" t="n">
        <x:v>46245.63509747685</x:v>
      </x:c>
      <x:c r="M69" s="12" t="str">
        <x:v>el-final-de-la-calle-oak:campus-el-claustro-u-mayor:2026-08-26T23:30:00.000Z</x:v>
      </x:c>
      <x:c r="N69" s="8" t="str">
        <x:f>IF(E69&gt;='Resumen'!$B$8,"Próxima","Pasada")</x:f>
        <x:v>Próxima</x:v>
      </x:c>
    </x:row>
    <x:row r="70">
      <x:c r="A70" s="12" t="str">
        <x:v>El final de la calle Oak</x:v>
      </x:c>
      <x:c r="B70" s="12" t="str">
        <x:v>Campus El Claustro, U. Mayor</x:v>
      </x:c>
      <x:c r="C70" s="8" t="str">
        <x:v>el-final-de-la-calle-oak</x:v>
      </x:c>
      <x:c r="D70" s="8" t="str">
        <x:v>campus-el-claustro-u-mayor</x:v>
      </x:c>
      <x:c r="E70" s="9" t="n">
        <x:v>46263.5</x:v>
      </x:c>
      <x:c r="F70" s="10" t="n">
        <x:v>0.8125</x:v>
      </x:c>
      <x:c r="G70" s="11" t="n">
        <x:v>46263.979166666664</x:v>
      </x:c>
      <x:c r="H70" s="8" t="str">
        <x:v>America/Santiago</x:v>
      </x:c>
      <x:c r="I70" s="8" t="str">
        <x:v>website</x:v>
      </x:c>
      <x:c r="J70" s="12" t="str">
        <x:v>https://salak.cl/pelicula/el-final-de-la-calle-oak/</x:v>
      </x:c>
      <x:c r="K70" s="12" t="str">
        <x:v>https://salak.cl/pelicula/el-final-de-la-calle-oak/#2026-08-29T19:30</x:v>
      </x:c>
      <x:c r="L70" s="13" t="n">
        <x:v>46245.63509747685</x:v>
      </x:c>
      <x:c r="M70" s="12" t="str">
        <x:v>el-final-de-la-calle-oak:campus-el-claustro-u-mayor:2026-08-29T23:30:00.000Z</x:v>
      </x:c>
      <x:c r="N70" s="8" t="str">
        <x:f>IF(E70&gt;='Resumen'!$B$8,"Próxima","Pasada")</x:f>
        <x:v>Próxima</x:v>
      </x:c>
    </x:row>
    <x:row r="71">
      <x:c r="A71" s="12" t="str">
        <x:v>Adolescencia, sexo y muerte en campamento Miasma</x:v>
      </x:c>
      <x:c r="B71" s="12" t="str">
        <x:v>Campus El Claustro, U. Mayor</x:v>
      </x:c>
      <x:c r="C71" s="8" t="str">
        <x:v>adolescencia-sexo-y-muerte-en-campamento-miasma</x:v>
      </x:c>
      <x:c r="D71" s="8" t="str">
        <x:v>campus-el-claustro-u-mayor</x:v>
      </x:c>
      <x:c r="E71" s="9" t="n">
        <x:v>46248.5</x:v>
      </x:c>
      <x:c r="F71" s="10" t="n">
        <x:v>0.7916666666666666</x:v>
      </x:c>
      <x:c r="G71" s="11" t="n">
        <x:v>46248.958333333336</x:v>
      </x:c>
      <x:c r="H71" s="8" t="str">
        <x:v>America/Santiago</x:v>
      </x:c>
      <x:c r="I71" s="8" t="str">
        <x:v>website</x:v>
      </x:c>
      <x:c r="J71" s="12" t="str">
        <x:v>https://salak.cl/pelicula/maestras-adolescencia-sexo-y-muerte-en-campamento-miasma/</x:v>
      </x:c>
      <x:c r="K71" s="12" t="str">
        <x:v>https://salak.cl/pelicula/maestras-adolescencia-sexo-y-muerte-en-campamento-miasma/#2026-08-14T19:00</x:v>
      </x:c>
      <x:c r="L71" s="13" t="n">
        <x:v>46245.63511425926</x:v>
      </x:c>
      <x:c r="M71" s="12" t="str">
        <x:v>adolescencia-sexo-y-muerte-en-campamento-miasma:campus-el-claustro-u-mayor:2026-08-14T23:00:00.000Z</x:v>
      </x:c>
      <x:c r="N71" s="8" t="str">
        <x:f>IF(E71&gt;='Resumen'!$B$8,"Próxima","Pasada")</x:f>
        <x:v>Próxima</x:v>
      </x:c>
    </x:row>
    <x:row r="72">
      <x:c r="A72" s="12" t="str">
        <x:v>Adolescencia, sexo y muerte en campamento Miasma</x:v>
      </x:c>
      <x:c r="B72" s="12" t="str">
        <x:v>Campus El Claustro, U. Mayor</x:v>
      </x:c>
      <x:c r="C72" s="8" t="str">
        <x:v>adolescencia-sexo-y-muerte-en-campamento-miasma</x:v>
      </x:c>
      <x:c r="D72" s="8" t="str">
        <x:v>campus-el-claustro-u-mayor</x:v>
      </x:c>
      <x:c r="E72" s="9" t="n">
        <x:v>46256.5</x:v>
      </x:c>
      <x:c r="F72" s="10" t="n">
        <x:v>0.7083333333333334</x:v>
      </x:c>
      <x:c r="G72" s="11" t="n">
        <x:v>46256.875</x:v>
      </x:c>
      <x:c r="H72" s="8" t="str">
        <x:v>America/Santiago</x:v>
      </x:c>
      <x:c r="I72" s="8" t="str">
        <x:v>website</x:v>
      </x:c>
      <x:c r="J72" s="12" t="str">
        <x:v>https://salak.cl/pelicula/maestras-adolescencia-sexo-y-muerte-en-campamento-miasma/</x:v>
      </x:c>
      <x:c r="K72" s="12" t="str">
        <x:v>https://salak.cl/pelicula/maestras-adolescencia-sexo-y-muerte-en-campamento-miasma/#2026-08-22T17:00</x:v>
      </x:c>
      <x:c r="L72" s="13" t="n">
        <x:v>46245.63511425926</x:v>
      </x:c>
      <x:c r="M72" s="12" t="str">
        <x:v>adolescencia-sexo-y-muerte-en-campamento-miasma:campus-el-claustro-u-mayor:2026-08-22T21:00:00.000Z</x:v>
      </x:c>
      <x:c r="N72" s="8" t="str">
        <x:f>IF(E72&gt;='Resumen'!$B$8,"Próxima","Pasada")</x:f>
        <x:v>Próxima</x:v>
      </x:c>
    </x:row>
    <x:row r="73">
      <x:c r="A73" s="12" t="str">
        <x:v>Adolescencia, sexo y muerte en campamento Miasma</x:v>
      </x:c>
      <x:c r="B73" s="12" t="str">
        <x:v>Campus El Claustro, U. Mayor</x:v>
      </x:c>
      <x:c r="C73" s="8" t="str">
        <x:v>adolescencia-sexo-y-muerte-en-campamento-miasma</x:v>
      </x:c>
      <x:c r="D73" s="8" t="str">
        <x:v>campus-el-claustro-u-mayor</x:v>
      </x:c>
      <x:c r="E73" s="9" t="n">
        <x:v>46262.5</x:v>
      </x:c>
      <x:c r="F73" s="10" t="n">
        <x:v>0.7916666666666666</x:v>
      </x:c>
      <x:c r="G73" s="11" t="n">
        <x:v>46262.958333333336</x:v>
      </x:c>
      <x:c r="H73" s="8" t="str">
        <x:v>America/Santiago</x:v>
      </x:c>
      <x:c r="I73" s="8" t="str">
        <x:v>website</x:v>
      </x:c>
      <x:c r="J73" s="12" t="str">
        <x:v>https://salak.cl/pelicula/maestras-adolescencia-sexo-y-muerte-en-campamento-miasma/</x:v>
      </x:c>
      <x:c r="K73" s="12" t="str">
        <x:v>https://salak.cl/pelicula/maestras-adolescencia-sexo-y-muerte-en-campamento-miasma/#2026-08-28T19:00</x:v>
      </x:c>
      <x:c r="L73" s="13" t="n">
        <x:v>46245.63511425926</x:v>
      </x:c>
      <x:c r="M73" s="12" t="str">
        <x:v>adolescencia-sexo-y-muerte-en-campamento-miasma:campus-el-claustro-u-mayor:2026-08-28T23:00:00.000Z</x:v>
      </x:c>
      <x:c r="N73" s="8" t="str">
        <x:f>IF(E73&gt;='Resumen'!$B$8,"Próxima","Pasada")</x:f>
        <x:v>Próxima</x:v>
      </x:c>
    </x:row>
    <x:row r="74">
      <x:c r="A74" s="12" t="str">
        <x:v>la once</x:v>
      </x:c>
      <x:c r="B74" s="12" t="str">
        <x:v>Casa de la Cultura</x:v>
      </x:c>
      <x:c r="C74" s="8" t="str">
        <x:v>la-once</x:v>
      </x:c>
      <x:c r="D74" s="8" t="str">
        <x:v>casa-de-la-cultura</x:v>
      </x:c>
      <x:c r="E74" s="9" t="n">
        <x:v>46261.5</x:v>
      </x:c>
      <x:c r="F74" s="10" t="n">
        <x:v>0.7708333333333334</x:v>
      </x:c>
      <x:c r="G74" s="11" t="n">
        <x:v>46261.9375</x:v>
      </x:c>
      <x:c r="H74" s="8" t="str">
        <x:v>America/Santiago</x:v>
      </x:c>
      <x:c r="I74" s="8" t="str">
        <x:v>website</x:v>
      </x:c>
      <x:c r="J74" s="12" t="str">
        <x:v>https://salak.cl/pelicula/la-once/</x:v>
      </x:c>
      <x:c r="K74" s="12" t="str">
        <x:v>https://salak.cl/pelicula/la-once/#2026-08-27T18:30</x:v>
      </x:c>
      <x:c r="L74" s="13" t="n">
        <x:v>46245.635128298614</x:v>
      </x:c>
      <x:c r="M74" s="12" t="str">
        <x:v>la-once:casa-de-la-cultura:2026-08-27T22:30:00.000Z</x:v>
      </x:c>
      <x:c r="N74" s="8" t="str">
        <x:f>IF(E74&gt;='Resumen'!$B$8,"Próxima","Pasada")</x:f>
        <x:v>Próxima</x:v>
      </x:c>
    </x:row>
    <x:row r="75">
      <x:c r="A75" s="12" t="str">
        <x:v>Kubo y las dos cuerdas mágicas</x:v>
      </x:c>
      <x:c r="B75" s="12" t="str">
        <x:v>Casa de la Cultura</x:v>
      </x:c>
      <x:c r="C75" s="8" t="str">
        <x:v>kubo-y-las-dos-cuerdas-magicas</x:v>
      </x:c>
      <x:c r="D75" s="8" t="str">
        <x:v>casa-de-la-cultura</x:v>
      </x:c>
      <x:c r="E75" s="9" t="n">
        <x:v>46263.5</x:v>
      </x:c>
      <x:c r="F75" s="10" t="n">
        <x:v>0.75</x:v>
      </x:c>
      <x:c r="G75" s="11" t="n">
        <x:v>46263.916666666664</x:v>
      </x:c>
      <x:c r="H75" s="8" t="str">
        <x:v>America/Santiago</x:v>
      </x:c>
      <x:c r="I75" s="8" t="str">
        <x:v>website</x:v>
      </x:c>
      <x:c r="J75" s="12" t="str">
        <x:v>https://salak.cl/pelicula/cine-pekes-kubo-y-las-dos-cuerdas-magicas/</x:v>
      </x:c>
      <x:c r="K75" s="12" t="str">
        <x:v>https://salak.cl/pelicula/cine-pekes-kubo-y-las-dos-cuerdas-magicas/#2026-08-29T18:00</x:v>
      </x:c>
      <x:c r="L75" s="13" t="n">
        <x:v>46245.63514146991</x:v>
      </x:c>
      <x:c r="M75" s="12" t="str">
        <x:v>kubo-y-las-dos-cuerdas-magicas:casa-de-la-cultura:2026-08-29T22:00:00.000Z</x:v>
      </x:c>
      <x:c r="N75" s="8" t="str">
        <x:f>IF(E75&gt;='Resumen'!$B$8,"Próxima","Pasada")</x:f>
        <x:v>Próxima</x:v>
      </x:c>
    </x:row>
    <x:row r="76">
      <x:c r="A76" s="12" t="str">
        <x:v>Gatos Viejos</x:v>
      </x:c>
      <x:c r="B76" s="12" t="str">
        <x:v>Casa de la Cultura</x:v>
      </x:c>
      <x:c r="C76" s="8" t="str">
        <x:v>gatos-viejos</x:v>
      </x:c>
      <x:c r="D76" s="8" t="str">
        <x:v>casa-de-la-cultura</x:v>
      </x:c>
      <x:c r="E76" s="9" t="n">
        <x:v>46247.5</x:v>
      </x:c>
      <x:c r="F76" s="10" t="n">
        <x:v>0.7916666666666666</x:v>
      </x:c>
      <x:c r="G76" s="11" t="n">
        <x:v>46247.958333333336</x:v>
      </x:c>
      <x:c r="H76" s="8" t="str">
        <x:v>America/Santiago</x:v>
      </x:c>
      <x:c r="I76" s="8" t="str">
        <x:v>website</x:v>
      </x:c>
      <x:c r="J76" s="12" t="str">
        <x:v>https://salak.cl/pelicula/cine-amor-gatos-viejos/</x:v>
      </x:c>
      <x:c r="K76" s="12" t="str">
        <x:v>https://salak.cl/pelicula/cine-amor-gatos-viejos/#2026-08-13T19:00</x:v>
      </x:c>
      <x:c r="L76" s="13" t="n">
        <x:v>46245.63515451389</x:v>
      </x:c>
      <x:c r="M76" s="12" t="str">
        <x:v>gatos-viejos:casa-de-la-cultura:2026-08-13T23:00:00.000Z</x:v>
      </x:c>
      <x:c r="N76" s="8" t="str">
        <x:f>IF(E76&gt;='Resumen'!$B$8,"Próxima","Pasada")</x:f>
        <x:v>Próxima</x:v>
      </x:c>
    </x:row>
    <x:row r="77">
      <x:c r="A77" s="12" t="str">
        <x:v>Los Domingos</x:v>
      </x:c>
      <x:c r="B77" s="12" t="str">
        <x:v>Campus El Claustro, U. Mayor</x:v>
      </x:c>
      <x:c r="C77" s="8" t="str">
        <x:v>los-domingos</x:v>
      </x:c>
      <x:c r="D77" s="8" t="str">
        <x:v>campus-el-claustro-u-mayor</x:v>
      </x:c>
      <x:c r="E77" s="9" t="n">
        <x:v>46263.5</x:v>
      </x:c>
      <x:c r="F77" s="10" t="n">
        <x:v>0.6666666666666666</x:v>
      </x:c>
      <x:c r="G77" s="11" t="n">
        <x:v>46263.833333333336</x:v>
      </x:c>
      <x:c r="H77" s="8" t="str">
        <x:v>America/Santiago</x:v>
      </x:c>
      <x:c r="I77" s="8" t="str">
        <x:v>website</x:v>
      </x:c>
      <x:c r="J77" s="12" t="str">
        <x:v>https://salak.cl/pelicula/maestras-los-domingos/</x:v>
      </x:c>
      <x:c r="K77" s="12" t="str">
        <x:v>https://salak.cl/pelicula/maestras-los-domingos/#2026-08-29T16:00</x:v>
      </x:c>
      <x:c r="L77" s="13" t="n">
        <x:v>46245.635172511575</x:v>
      </x:c>
      <x:c r="M77" s="12" t="str">
        <x:v>los-domingos:campus-el-claustro-u-mayor:2026-08-29T20:00:00.000Z</x:v>
      </x:c>
      <x:c r="N77" s="8" t="str">
        <x:f>IF(E77&gt;='Resumen'!$B$8,"Próxima","Pasada")</x:f>
        <x:v>Próxima</x:v>
      </x:c>
    </x:row>
    <x:row r="78">
      <x:c r="A78" s="12" t="str">
        <x:v>OLIVIA Y EL TERREMOTO INVISIBLE</x:v>
      </x:c>
      <x:c r="B78" s="12" t="str">
        <x:v>Auditorio Municipal de Maipú</x:v>
      </x:c>
      <x:c r="C78" s="8" t="str">
        <x:v>olivia-y-el-terremoto-invisible</x:v>
      </x:c>
      <x:c r="D78" s="8" t="str">
        <x:v>auditorio-municipal-de-maipu</x:v>
      </x:c>
      <x:c r="E78" s="9" t="n">
        <x:v>46256.5</x:v>
      </x:c>
      <x:c r="F78" s="10" t="n">
        <x:v>0.6666666666666666</x:v>
      </x:c>
      <x:c r="G78" s="11" t="n">
        <x:v>46256.833333333336</x:v>
      </x:c>
      <x:c r="H78" s="8" t="str">
        <x:v>America/Santiago</x:v>
      </x:c>
      <x:c r="I78" s="8" t="str">
        <x:v>website</x:v>
      </x:c>
      <x:c r="J78" s="12" t="str">
        <x:v>https://salak.cl/pelicula/olivia-y-el-terremoto-invisible/</x:v>
      </x:c>
      <x:c r="K78" s="12" t="str">
        <x:v>https://salak.cl/pelicula/olivia-y-el-terremoto-invisible/#2026-08-22T16:00</x:v>
      </x:c>
      <x:c r="L78" s="13" t="n">
        <x:v>46245.63518884259</x:v>
      </x:c>
      <x:c r="M78" s="12" t="str">
        <x:v>olivia-y-el-terremoto-invisible:auditorio-municipal-de-maipu:2026-08-22T20:00:00.000Z</x:v>
      </x:c>
      <x:c r="N78" s="8" t="str">
        <x:f>IF(E78&gt;='Resumen'!$B$8,"Próxima","Pasada")</x:f>
        <x:v>Próxima</x:v>
      </x:c>
    </x:row>
    <x:row r="79">
      <x:c r="A79" s="12" t="str">
        <x:v>la cronología del agua</x:v>
      </x:c>
      <x:c r="B79" s="12" t="str">
        <x:v>Auditorio Municipal de Maipú</x:v>
      </x:c>
      <x:c r="C79" s="8" t="str">
        <x:v>la-cronologia-del-agua</x:v>
      </x:c>
      <x:c r="D79" s="8" t="str">
        <x:v>auditorio-municipal-de-maipu</x:v>
      </x:c>
      <x:c r="E79" s="9" t="n">
        <x:v>46260.5</x:v>
      </x:c>
      <x:c r="F79" s="10" t="n">
        <x:v>0.7916666666666666</x:v>
      </x:c>
      <x:c r="G79" s="11" t="n">
        <x:v>46260.958333333336</x:v>
      </x:c>
      <x:c r="H79" s="8" t="str">
        <x:v>America/Santiago</x:v>
      </x:c>
      <x:c r="I79" s="8" t="str">
        <x:v>website</x:v>
      </x:c>
      <x:c r="J79" s="12" t="str">
        <x:v>https://salak.cl/pelicula/la-cronologia-del-agua/</x:v>
      </x:c>
      <x:c r="K79" s="12" t="str">
        <x:v>https://salak.cl/pelicula/la-cronologia-del-agua/#2026-08-26T19:00</x:v>
      </x:c>
      <x:c r="L79" s="13" t="n">
        <x:v>46245.63520545139</x:v>
      </x:c>
      <x:c r="M79" s="12" t="str">
        <x:v>la-cronologia-del-agua:auditorio-municipal-de-maipu:2026-08-26T23:00:00.000Z</x:v>
      </x:c>
      <x:c r="N79" s="8" t="str">
        <x:f>IF(E79&gt;='Resumen'!$B$8,"Próxima","Pasada")</x:f>
        <x:v>Próxima</x:v>
      </x:c>
    </x:row>
    <x:row r="80">
      <x:c r="A80" s="12" t="str">
        <x:v>Blood Simple</x:v>
      </x:c>
      <x:c r="B80" s="12" t="str">
        <x:v>Campus El Claustro, U. Mayor</x:v>
      </x:c>
      <x:c r="C80" s="8" t="str">
        <x:v>blood-simple</x:v>
      </x:c>
      <x:c r="D80" s="8" t="str">
        <x:v>campus-el-claustro-u-mayor</x:v>
      </x:c>
      <x:c r="E80" s="9" t="n">
        <x:v>46262.5</x:v>
      </x:c>
      <x:c r="F80" s="10" t="n">
        <x:v>0.7083333333333334</x:v>
      </x:c>
      <x:c r="G80" s="11" t="n">
        <x:v>46262.875</x:v>
      </x:c>
      <x:c r="H80" s="8" t="str">
        <x:v>America/Santiago</x:v>
      </x:c>
      <x:c r="I80" s="8" t="str">
        <x:v>website</x:v>
      </x:c>
      <x:c r="J80" s="12" t="str">
        <x:v>https://salak.cl/pelicula/imprescindibles-pesadillas-en-los-80-blood-simple/</x:v>
      </x:c>
      <x:c r="K80" s="12" t="str">
        <x:v>https://salak.cl/pelicula/imprescindibles-pesadillas-en-los-80-blood-simple/#2026-08-28T17:00</x:v>
      </x:c>
      <x:c r="L80" s="13" t="n">
        <x:v>46245.63522103009</x:v>
      </x:c>
      <x:c r="M80" s="12" t="str">
        <x:v>blood-simple:campus-el-claustro-u-mayor:2026-08-28T21:00:00.000Z</x:v>
      </x:c>
      <x:c r="N80" s="8" t="str">
        <x:f>IF(E80&gt;='Resumen'!$B$8,"Próxima","Pasada")</x:f>
        <x:v>Próxima</x:v>
      </x:c>
    </x:row>
    <x:row r="81">
      <x:c r="A81" s="12" t="str">
        <x:v>robocop</x:v>
      </x:c>
      <x:c r="B81" s="12" t="str">
        <x:v>Campus El Claustro, U. Mayor</x:v>
      </x:c>
      <x:c r="C81" s="8" t="str">
        <x:v>robocop</x:v>
      </x:c>
      <x:c r="D81" s="8" t="str">
        <x:v>campus-el-claustro-u-mayor</x:v>
      </x:c>
      <x:c r="E81" s="9" t="n">
        <x:v>46260.5</x:v>
      </x:c>
      <x:c r="F81" s="10" t="n">
        <x:v>0.7083333333333334</x:v>
      </x:c>
      <x:c r="G81" s="11" t="n">
        <x:v>46260.875</x:v>
      </x:c>
      <x:c r="H81" s="8" t="str">
        <x:v>America/Santiago</x:v>
      </x:c>
      <x:c r="I81" s="8" t="str">
        <x:v>website</x:v>
      </x:c>
      <x:c r="J81" s="12" t="str">
        <x:v>https://salak.cl/pelicula/imprescindibles-pesadillas-en-los-80-robocop/</x:v>
      </x:c>
      <x:c r="K81" s="12" t="str">
        <x:v>https://salak.cl/pelicula/imprescindibles-pesadillas-en-los-80-robocop/#2026-08-26T17:00</x:v>
      </x:c>
      <x:c r="L81" s="13" t="n">
        <x:v>46245.63523633102</x:v>
      </x:c>
      <x:c r="M81" s="12" t="str">
        <x:v>robocop:campus-el-claustro-u-mayor:2026-08-26T21:00:00.000Z</x:v>
      </x:c>
      <x:c r="N81" s="8" t="str">
        <x:f>IF(E81&gt;='Resumen'!$B$8,"Próxima","Pasada")</x:f>
        <x:v>Próxima</x:v>
      </x:c>
    </x:row>
    <x:row r="82">
      <x:c r="A82" s="12" t="str">
        <x:v>The Thing</x:v>
      </x:c>
      <x:c r="B82" s="12" t="str">
        <x:v>Campus El Claustro, U. Mayor</x:v>
      </x:c>
      <x:c r="C82" s="8" t="str">
        <x:v>the-thing</x:v>
      </x:c>
      <x:c r="D82" s="8" t="str">
        <x:v>campus-el-claustro-u-mayor</x:v>
      </x:c>
      <x:c r="E82" s="9" t="n">
        <x:v>46253.5</x:v>
      </x:c>
      <x:c r="F82" s="10" t="n">
        <x:v>0.7083333333333334</x:v>
      </x:c>
      <x:c r="G82" s="11" t="n">
        <x:v>46253.875</x:v>
      </x:c>
      <x:c r="H82" s="8" t="str">
        <x:v>America/Santiago</x:v>
      </x:c>
      <x:c r="I82" s="8" t="str">
        <x:v>website</x:v>
      </x:c>
      <x:c r="J82" s="12" t="str">
        <x:v>https://salak.cl/pelicula/imprescindibles-pesadillas-en-los-80-the-thing/</x:v>
      </x:c>
      <x:c r="K82" s="12" t="str">
        <x:v>https://salak.cl/pelicula/imprescindibles-pesadillas-en-los-80-the-thing/#2026-08-19T17:00</x:v>
      </x:c>
      <x:c r="L82" s="13" t="n">
        <x:v>46245.635252534725</x:v>
      </x:c>
      <x:c r="M82" s="12" t="str">
        <x:v>the-thing:campus-el-claustro-u-mayor:2026-08-19T21:00:00.000Z</x:v>
      </x:c>
      <x:c r="N82" s="8" t="str">
        <x:f>IF(E82&gt;='Resumen'!$B$8,"Próxima","Pasada")</x:f>
        <x:v>Próxima</x:v>
      </x:c>
    </x:row>
    <x:row r="83">
      <x:c r="A83" s="12" t="str">
        <x:v>The Fly</x:v>
      </x:c>
      <x:c r="B83" s="12" t="str">
        <x:v>Campus El Claustro, U. Mayor</x:v>
      </x:c>
      <x:c r="C83" s="8" t="str">
        <x:v>the-fly</x:v>
      </x:c>
      <x:c r="D83" s="8" t="str">
        <x:v>campus-el-claustro-u-mayor</x:v>
      </x:c>
      <x:c r="E83" s="9" t="n">
        <x:v>46246.5</x:v>
      </x:c>
      <x:c r="F83" s="10" t="n">
        <x:v>0.7916666666666666</x:v>
      </x:c>
      <x:c r="G83" s="11" t="n">
        <x:v>46246.958333333336</x:v>
      </x:c>
      <x:c r="H83" s="8" t="str">
        <x:v>America/Santiago</x:v>
      </x:c>
      <x:c r="I83" s="8" t="str">
        <x:v>website</x:v>
      </x:c>
      <x:c r="J83" s="12" t="str">
        <x:v>https://salak.cl/pelicula/imprescindibles-pesadillas-en-los-80-the-fly/</x:v>
      </x:c>
      <x:c r="K83" s="12" t="str">
        <x:v>https://salak.cl/pelicula/imprescindibles-pesadillas-en-los-80-the-fly/#2026-08-12T19:00</x:v>
      </x:c>
      <x:c r="L83" s="13" t="n">
        <x:v>46245.63527103009</x:v>
      </x:c>
      <x:c r="M83" s="12" t="str">
        <x:v>the-fly:campus-el-claustro-u-mayor:2026-08-12T23:00:00.000Z</x:v>
      </x:c>
      <x:c r="N83" s="8" t="str">
        <x:f>IF(E83&gt;='Resumen'!$B$8,"Próxima","Pasada")</x:f>
        <x:v>Próxima</x:v>
      </x:c>
    </x:row>
    <x:row r="84">
      <x:c r="A84" s="12" t="str">
        <x:v>La Odisea</x:v>
      </x:c>
      <x:c r="B84" s="12" t="str">
        <x:v>Sala Nemesio</x:v>
      </x:c>
      <x:c r="C84" s="8" t="str">
        <x:v>la-odisea</x:v>
      </x:c>
      <x:c r="D84" s="8" t="str">
        <x:v>sala-nemesio</x:v>
      </x:c>
      <x:c r="E84" s="9" t="n">
        <x:v>46246.5</x:v>
      </x:c>
      <x:c r="F84" s="10" t="n">
        <x:v>0.8125</x:v>
      </x:c>
      <x:c r="G84" s="11" t="n">
        <x:v>46246.979166666664</x:v>
      </x:c>
      <x:c r="H84" s="8" t="str">
        <x:v>America/Santiago</x:v>
      </x:c>
      <x:c r="I84" s="8" t="str">
        <x:v>website</x:v>
      </x:c>
      <x:c r="J84" s="12" t="str">
        <x:v>https://ticketplus.cl/events/la-odisea-2026-07-17-11-00-00-0400</x:v>
      </x:c>
      <x:c r="K84" s="12" t="str">
        <x:v>https://ticketplus.cl/events/la-odisea-2026-07-17-11-00-00-0400#2026-08-12T19:30</x:v>
      </x:c>
      <x:c r="L84" s="13" t="n">
        <x:v>46245.63530543981</x:v>
      </x:c>
      <x:c r="M84" s="12" t="str">
        <x:v>la-odisea:sala-nemesio:2026-08-12T23:30:00.000Z</x:v>
      </x:c>
      <x:c r="N84" s="8" t="str">
        <x:f>IF(E84&gt;='Resumen'!$B$8,"Próxima","Pasada")</x:f>
        <x:v>Próxima</x:v>
      </x:c>
    </x:row>
    <x:row r="85">
      <x:c r="A85" s="12" t="str">
        <x:v>La Odisea</x:v>
      </x:c>
      <x:c r="B85" s="12" t="str">
        <x:v>Sala Nemesio</x:v>
      </x:c>
      <x:c r="C85" s="8" t="str">
        <x:v>la-odisea</x:v>
      </x:c>
      <x:c r="D85" s="8" t="str">
        <x:v>sala-nemesio</x:v>
      </x:c>
      <x:c r="E85" s="9" t="n">
        <x:v>46252.5</x:v>
      </x:c>
      <x:c r="F85" s="10" t="n">
        <x:v>0.8125</x:v>
      </x:c>
      <x:c r="G85" s="11" t="n">
        <x:v>46252.979166666664</x:v>
      </x:c>
      <x:c r="H85" s="8" t="str">
        <x:v>America/Santiago</x:v>
      </x:c>
      <x:c r="I85" s="8" t="str">
        <x:v>website</x:v>
      </x:c>
      <x:c r="J85" s="12" t="str">
        <x:v>https://ticketplus.cl/events/la-odisea-2026-07-17-11-00-00-0400</x:v>
      </x:c>
      <x:c r="K85" s="12" t="str">
        <x:v>https://ticketplus.cl/events/la-odisea-2026-07-17-11-00-00-0400#2026-08-18T19:30</x:v>
      </x:c>
      <x:c r="L85" s="13" t="n">
        <x:v>46245.63530543981</x:v>
      </x:c>
      <x:c r="M85" s="12" t="str">
        <x:v>la-odisea:sala-nemesio:2026-08-18T23:30:00.000Z</x:v>
      </x:c>
      <x:c r="N85" s="8" t="str">
        <x:f>IF(E85&gt;='Resumen'!$B$8,"Próxima","Pasada")</x:f>
        <x:v>Próxima</x:v>
      </x:c>
    </x:row>
    <x:row r="86">
      <x:c r="A86" s="12" t="str">
        <x:v>La Odisea</x:v>
      </x:c>
      <x:c r="B86" s="12" t="str">
        <x:v>Sala Nemesio</x:v>
      </x:c>
      <x:c r="C86" s="8" t="str">
        <x:v>la-odisea</x:v>
      </x:c>
      <x:c r="D86" s="8" t="str">
        <x:v>sala-nemesio</x:v>
      </x:c>
      <x:c r="E86" s="9" t="n">
        <x:v>46253.5</x:v>
      </x:c>
      <x:c r="F86" s="10" t="n">
        <x:v>0.7083333333333334</x:v>
      </x:c>
      <x:c r="G86" s="11" t="n">
        <x:v>46253.875</x:v>
      </x:c>
      <x:c r="H86" s="8" t="str">
        <x:v>America/Santiago</x:v>
      </x:c>
      <x:c r="I86" s="8" t="str">
        <x:v>website</x:v>
      </x:c>
      <x:c r="J86" s="12" t="str">
        <x:v>https://ticketplus.cl/events/la-odisea-2026-07-17-11-00-00-0400</x:v>
      </x:c>
      <x:c r="K86" s="12" t="str">
        <x:v>https://ticketplus.cl/events/la-odisea-2026-07-17-11-00-00-0400#2026-08-19T17:00</x:v>
      </x:c>
      <x:c r="L86" s="13" t="n">
        <x:v>46245.63530543981</x:v>
      </x:c>
      <x:c r="M86" s="12" t="str">
        <x:v>la-odisea:sala-nemesio:2026-08-19T21:00:00.000Z</x:v>
      </x:c>
      <x:c r="N86" s="8" t="str">
        <x:f>IF(E86&gt;='Resumen'!$B$8,"Próxima","Pasada")</x:f>
        <x:v>Próxima</x:v>
      </x:c>
    </x:row>
    <x:row r="87">
      <x:c r="A87" s="12" t="str">
        <x:v>Spiderman</x:v>
      </x:c>
      <x:c r="B87" s="12" t="str">
        <x:v>Sala Nemesio</x:v>
      </x:c>
      <x:c r="C87" s="8" t="str">
        <x:v>spiderman</x:v>
      </x:c>
      <x:c r="D87" s="8" t="str">
        <x:v>sala-nemesio</x:v>
      </x:c>
      <x:c r="E87" s="9" t="n">
        <x:v>46248.5</x:v>
      </x:c>
      <x:c r="F87" s="10" t="n">
        <x:v>0.625</x:v>
      </x:c>
      <x:c r="G87" s="11" t="n">
        <x:v>46248.791666666664</x:v>
      </x:c>
      <x:c r="H87" s="8" t="str">
        <x:v>America/Santiago</x:v>
      </x:c>
      <x:c r="I87" s="8" t="str">
        <x:v>website</x:v>
      </x:c>
      <x:c r="J87" s="12" t="str">
        <x:v>https://ticketplus.cl/events/spiderman</x:v>
      </x:c>
      <x:c r="K87" s="12" t="str">
        <x:v>https://ticketplus.cl/events/spiderman#2026-08-14T15:00</x:v>
      </x:c>
      <x:c r="L87" s="13" t="n">
        <x:v>46245.63530729167</x:v>
      </x:c>
      <x:c r="M87" s="12" t="str">
        <x:v>spiderman:sala-nemesio:2026-08-14T19:00:00.000Z</x:v>
      </x:c>
      <x:c r="N87" s="8" t="str">
        <x:f>IF(E87&gt;='Resumen'!$B$8,"Próxima","Pasada")</x:f>
        <x:v>Próxima</x:v>
      </x:c>
    </x:row>
    <x:row r="88">
      <x:c r="A88" s="12" t="str">
        <x:v>Spiderman</x:v>
      </x:c>
      <x:c r="B88" s="12" t="str">
        <x:v>Sala Nemesio</x:v>
      </x:c>
      <x:c r="C88" s="8" t="str">
        <x:v>spiderman</x:v>
      </x:c>
      <x:c r="D88" s="8" t="str">
        <x:v>sala-nemesio</x:v>
      </x:c>
      <x:c r="E88" s="9" t="n">
        <x:v>46253.5</x:v>
      </x:c>
      <x:c r="F88" s="10" t="n">
        <x:v>0.8333333333333334</x:v>
      </x:c>
      <x:c r="G88" s="11" t="n">
        <x:v>46254</x:v>
      </x:c>
      <x:c r="H88" s="8" t="str">
        <x:v>America/Santiago</x:v>
      </x:c>
      <x:c r="I88" s="8" t="str">
        <x:v>website</x:v>
      </x:c>
      <x:c r="J88" s="12" t="str">
        <x:v>https://ticketplus.cl/events/spiderman</x:v>
      </x:c>
      <x:c r="K88" s="12" t="str">
        <x:v>https://ticketplus.cl/events/spiderman#2026-08-19T20:00</x:v>
      </x:c>
      <x:c r="L88" s="13" t="n">
        <x:v>46245.63530729167</x:v>
      </x:c>
      <x:c r="M88" s="12" t="str">
        <x:v>spiderman:sala-nemesio:2026-08-20T00:00:00.000Z</x:v>
      </x:c>
      <x:c r="N88" s="8" t="str">
        <x:f>IF(E88&gt;='Resumen'!$B$8,"Próxima","Pasada")</x:f>
        <x:v>Próxima</x:v>
      </x:c>
    </x:row>
    <x:row r="89">
      <x:c r="A89" s="12" t="str">
        <x:v>Diamanti</x:v>
      </x:c>
      <x:c r="B89" s="12" t="str">
        <x:v>Sala Nemesio</x:v>
      </x:c>
      <x:c r="C89" s="8" t="str">
        <x:v>diamanti</x:v>
      </x:c>
      <x:c r="D89" s="8" t="str">
        <x:v>sala-nemesio</x:v>
      </x:c>
      <x:c r="E89" s="9" t="n">
        <x:v>46245.5</x:v>
      </x:c>
      <x:c r="F89" s="10" t="n">
        <x:v>0.7083333333333334</x:v>
      </x:c>
      <x:c r="G89" s="11" t="n">
        <x:v>46245.875</x:v>
      </x:c>
      <x:c r="H89" s="8" t="str">
        <x:v>America/Santiago</x:v>
      </x:c>
      <x:c r="I89" s="8" t="str">
        <x:v>website</x:v>
      </x:c>
      <x:c r="J89" s="12" t="str">
        <x:v>https://ticketplus.cl/events/diamanti</x:v>
      </x:c>
      <x:c r="K89" s="12" t="str">
        <x:v>https://ticketplus.cl/events/diamanti#2026-08-11T17:00</x:v>
      </x:c>
      <x:c r="L89" s="13" t="n">
        <x:v>46245.63530920139</x:v>
      </x:c>
      <x:c r="M89" s="12" t="str">
        <x:v>diamanti:sala-nemesio:2026-08-11T21:00:00.000Z</x:v>
      </x:c>
      <x:c r="N89" s="8" t="str">
        <x:f>IF(E89&gt;='Resumen'!$B$8,"Próxima","Pasada")</x:f>
        <x:v>Próxima</x:v>
      </x:c>
    </x:row>
    <x:row r="90">
      <x:c r="A90" s="12" t="str">
        <x:v>Diamanti</x:v>
      </x:c>
      <x:c r="B90" s="12" t="str">
        <x:v>Sala Nemesio</x:v>
      </x:c>
      <x:c r="C90" s="8" t="str">
        <x:v>diamanti</x:v>
      </x:c>
      <x:c r="D90" s="8" t="str">
        <x:v>sala-nemesio</x:v>
      </x:c>
      <x:c r="E90" s="9" t="n">
        <x:v>46246.5</x:v>
      </x:c>
      <x:c r="F90" s="10" t="n">
        <x:v>0.7083333333333334</x:v>
      </x:c>
      <x:c r="G90" s="11" t="n">
        <x:v>46246.875</x:v>
      </x:c>
      <x:c r="H90" s="8" t="str">
        <x:v>America/Santiago</x:v>
      </x:c>
      <x:c r="I90" s="8" t="str">
        <x:v>website</x:v>
      </x:c>
      <x:c r="J90" s="12" t="str">
        <x:v>https://ticketplus.cl/events/diamanti</x:v>
      </x:c>
      <x:c r="K90" s="12" t="str">
        <x:v>https://ticketplus.cl/events/diamanti#2026-08-12T17:00</x:v>
      </x:c>
      <x:c r="L90" s="13" t="n">
        <x:v>46245.63530920139</x:v>
      </x:c>
      <x:c r="M90" s="12" t="str">
        <x:v>diamanti:sala-nemesio:2026-08-12T21:00:00.000Z</x:v>
      </x:c>
      <x:c r="N90" s="8" t="str">
        <x:f>IF(E90&gt;='Resumen'!$B$8,"Próxima","Pasada")</x:f>
        <x:v>Próxima</x:v>
      </x:c>
    </x:row>
    <x:row r="91">
      <x:c r="A91" s="12" t="str">
        <x:v>Diamanti</x:v>
      </x:c>
      <x:c r="B91" s="12" t="str">
        <x:v>Sala Nemesio</x:v>
      </x:c>
      <x:c r="C91" s="8" t="str">
        <x:v>diamanti</x:v>
      </x:c>
      <x:c r="D91" s="8" t="str">
        <x:v>sala-nemesio</x:v>
      </x:c>
      <x:c r="E91" s="9" t="n">
        <x:v>46247.5</x:v>
      </x:c>
      <x:c r="F91" s="10" t="n">
        <x:v>0.7083333333333334</x:v>
      </x:c>
      <x:c r="G91" s="11" t="n">
        <x:v>46247.875</x:v>
      </x:c>
      <x:c r="H91" s="8" t="str">
        <x:v>America/Santiago</x:v>
      </x:c>
      <x:c r="I91" s="8" t="str">
        <x:v>website</x:v>
      </x:c>
      <x:c r="J91" s="12" t="str">
        <x:v>https://ticketplus.cl/events/diamanti</x:v>
      </x:c>
      <x:c r="K91" s="12" t="str">
        <x:v>https://ticketplus.cl/events/diamanti#2026-08-13T17:00</x:v>
      </x:c>
      <x:c r="L91" s="13" t="n">
        <x:v>46245.63530920139</x:v>
      </x:c>
      <x:c r="M91" s="12" t="str">
        <x:v>diamanti:sala-nemesio:2026-08-13T21:00:00.000Z</x:v>
      </x:c>
      <x:c r="N91" s="8" t="str">
        <x:f>IF(E91&gt;='Resumen'!$B$8,"Próxima","Pasada")</x:f>
        <x:v>Próxima</x:v>
      </x:c>
    </x:row>
    <x:row r="92">
      <x:c r="A92" s="12" t="str">
        <x:v>Diamanti</x:v>
      </x:c>
      <x:c r="B92" s="12" t="str">
        <x:v>Sala Nemesio</x:v>
      </x:c>
      <x:c r="C92" s="8" t="str">
        <x:v>diamanti</x:v>
      </x:c>
      <x:c r="D92" s="8" t="str">
        <x:v>sala-nemesio</x:v>
      </x:c>
      <x:c r="E92" s="9" t="n">
        <x:v>46252.5</x:v>
      </x:c>
      <x:c r="F92" s="10" t="n">
        <x:v>0.7083333333333334</x:v>
      </x:c>
      <x:c r="G92" s="11" t="n">
        <x:v>46252.875</x:v>
      </x:c>
      <x:c r="H92" s="8" t="str">
        <x:v>America/Santiago</x:v>
      </x:c>
      <x:c r="I92" s="8" t="str">
        <x:v>website</x:v>
      </x:c>
      <x:c r="J92" s="12" t="str">
        <x:v>https://ticketplus.cl/events/diamanti</x:v>
      </x:c>
      <x:c r="K92" s="12" t="str">
        <x:v>https://ticketplus.cl/events/diamanti#2026-08-18T17:00</x:v>
      </x:c>
      <x:c r="L92" s="13" t="n">
        <x:v>46245.63530920139</x:v>
      </x:c>
      <x:c r="M92" s="12" t="str">
        <x:v>diamanti:sala-nemesio:2026-08-18T21:00:00.000Z</x:v>
      </x:c>
      <x:c r="N92" s="8" t="str">
        <x:f>IF(E92&gt;='Resumen'!$B$8,"Próxima","Pasada")</x:f>
        <x:v>Próxima</x:v>
      </x:c>
    </x:row>
    <x:row r="93">
      <x:c r="A93" s="12" t="str">
        <x:v>El Día D: Bajo Presión</x:v>
      </x:c>
      <x:c r="B93" s="12" t="str">
        <x:v>Sala Nemesio</x:v>
      </x:c>
      <x:c r="C93" s="8" t="str">
        <x:v>el-dia-d-bajo-presion</x:v>
      </x:c>
      <x:c r="D93" s="8" t="str">
        <x:v>sala-nemesio</x:v>
      </x:c>
      <x:c r="E93" s="9" t="n">
        <x:v>46245.5</x:v>
      </x:c>
      <x:c r="F93" s="10" t="n">
        <x:v>0.625</x:v>
      </x:c>
      <x:c r="G93" s="11" t="n">
        <x:v>46245.791666666664</x:v>
      </x:c>
      <x:c r="H93" s="8" t="str">
        <x:v>America/Santiago</x:v>
      </x:c>
      <x:c r="I93" s="8" t="str">
        <x:v>website</x:v>
      </x:c>
      <x:c r="J93" s="12" t="str">
        <x:v>https://ticketplus.cl/events/el-dia-d-bajo-presion</x:v>
      </x:c>
      <x:c r="K93" s="12" t="str">
        <x:v>https://ticketplus.cl/events/el-dia-d-bajo-presion#2026-08-11T15:00</x:v>
      </x:c>
      <x:c r="L93" s="13" t="n">
        <x:v>46245.63531082176</x:v>
      </x:c>
      <x:c r="M93" s="12" t="str">
        <x:v>el-dia-d-bajo-presion:sala-nemesio:2026-08-11T19:00:00.000Z</x:v>
      </x:c>
      <x:c r="N93" s="8" t="str">
        <x:f>IF(E93&gt;='Resumen'!$B$8,"Próxima","Pasada")</x:f>
        <x:v>Próxima</x:v>
      </x:c>
    </x:row>
    <x:row r="94">
      <x:c r="A94" s="12" t="str">
        <x:v>El Día D: Bajo Presión</x:v>
      </x:c>
      <x:c r="B94" s="12" t="str">
        <x:v>Sala Nemesio</x:v>
      </x:c>
      <x:c r="C94" s="8" t="str">
        <x:v>el-dia-d-bajo-presion</x:v>
      </x:c>
      <x:c r="D94" s="8" t="str">
        <x:v>sala-nemesio</x:v>
      </x:c>
      <x:c r="E94" s="9" t="n">
        <x:v>46247.5</x:v>
      </x:c>
      <x:c r="F94" s="10" t="n">
        <x:v>0.625</x:v>
      </x:c>
      <x:c r="G94" s="11" t="n">
        <x:v>46247.791666666664</x:v>
      </x:c>
      <x:c r="H94" s="8" t="str">
        <x:v>America/Santiago</x:v>
      </x:c>
      <x:c r="I94" s="8" t="str">
        <x:v>website</x:v>
      </x:c>
      <x:c r="J94" s="12" t="str">
        <x:v>https://ticketplus.cl/events/el-dia-d-bajo-presion</x:v>
      </x:c>
      <x:c r="K94" s="12" t="str">
        <x:v>https://ticketplus.cl/events/el-dia-d-bajo-presion#2026-08-13T15:00</x:v>
      </x:c>
      <x:c r="L94" s="13" t="n">
        <x:v>46245.63531082176</x:v>
      </x:c>
      <x:c r="M94" s="12" t="str">
        <x:v>el-dia-d-bajo-presion:sala-nemesio:2026-08-13T19:00:00.000Z</x:v>
      </x:c>
      <x:c r="N94" s="8" t="str">
        <x:f>IF(E94&gt;='Resumen'!$B$8,"Próxima","Pasada")</x:f>
        <x:v>Próxima</x:v>
      </x:c>
    </x:row>
    <x:row r="95">
      <x:c r="A95" s="12" t="str">
        <x:v>El Día D: Bajo Presión</x:v>
      </x:c>
      <x:c r="B95" s="12" t="str">
        <x:v>Sala Nemesio</x:v>
      </x:c>
      <x:c r="C95" s="8" t="str">
        <x:v>el-dia-d-bajo-presion</x:v>
      </x:c>
      <x:c r="D95" s="8" t="str">
        <x:v>sala-nemesio</x:v>
      </x:c>
      <x:c r="E95" s="9" t="n">
        <x:v>46248.5</x:v>
      </x:c>
      <x:c r="F95" s="10" t="n">
        <x:v>0.8541666666666666</x:v>
      </x:c>
      <x:c r="G95" s="11" t="n">
        <x:v>46249.020833333336</x:v>
      </x:c>
      <x:c r="H95" s="8" t="str">
        <x:v>America/Santiago</x:v>
      </x:c>
      <x:c r="I95" s="8" t="str">
        <x:v>website</x:v>
      </x:c>
      <x:c r="J95" s="12" t="str">
        <x:v>https://ticketplus.cl/events/el-dia-d-bajo-presion</x:v>
      </x:c>
      <x:c r="K95" s="12" t="str">
        <x:v>https://ticketplus.cl/events/el-dia-d-bajo-presion#2026-08-14T20:30</x:v>
      </x:c>
      <x:c r="L95" s="13" t="n">
        <x:v>46245.63531082176</x:v>
      </x:c>
      <x:c r="M95" s="12" t="str">
        <x:v>el-dia-d-bajo-presion:sala-nemesio:2026-08-15T00:30:00.000Z</x:v>
      </x:c>
      <x:c r="N95" s="8" t="str">
        <x:f>IF(E95&gt;='Resumen'!$B$8,"Próxima","Pasada")</x:f>
        <x:v>Próxima</x:v>
      </x:c>
    </x:row>
    <x:row r="96">
      <x:c r="A96" s="12" t="str">
        <x:v>La naturaleza de las cosas invisibles</x:v>
      </x:c>
      <x:c r="B96" s="12" t="str">
        <x:v>Sala Nemesio</x:v>
      </x:c>
      <x:c r="C96" s="8" t="str">
        <x:v>la-naturaleza-de-las-cosas-invisibles</x:v>
      </x:c>
      <x:c r="D96" s="8" t="str">
        <x:v>sala-nemesio</x:v>
      </x:c>
      <x:c r="E96" s="9" t="n">
        <x:v>46245.5</x:v>
      </x:c>
      <x:c r="F96" s="10" t="n">
        <x:v>0.8125</x:v>
      </x:c>
      <x:c r="G96" s="11" t="n">
        <x:v>46245.979166666664</x:v>
      </x:c>
      <x:c r="H96" s="8" t="str">
        <x:v>America/Santiago</x:v>
      </x:c>
      <x:c r="I96" s="8" t="str">
        <x:v>website</x:v>
      </x:c>
      <x:c r="J96" s="12" t="str">
        <x:v>https://ticketplus.cl/events/la-naturaleza-de-las-cosas-invisibles</x:v>
      </x:c>
      <x:c r="K96" s="12" t="str">
        <x:v>https://ticketplus.cl/events/la-naturaleza-de-las-cosas-invisibles#2026-08-11T19:30</x:v>
      </x:c>
      <x:c r="L96" s="13" t="n">
        <x:v>46245.63531271991</x:v>
      </x:c>
      <x:c r="M96" s="12" t="str">
        <x:v>la-naturaleza-de-las-cosas-invisibles:sala-nemesio:2026-08-11T23:30:00.000Z</x:v>
      </x:c>
      <x:c r="N96" s="8" t="str">
        <x:f>IF(E96&gt;='Resumen'!$B$8,"Próxima","Pasada")</x:f>
        <x:v>Próxima</x:v>
      </x:c>
    </x:row>
    <x:row r="97">
      <x:c r="A97" s="12" t="str">
        <x:v>La naturaleza de las cosas invisibles</x:v>
      </x:c>
      <x:c r="B97" s="12" t="str">
        <x:v>Sala Nemesio</x:v>
      </x:c>
      <x:c r="C97" s="8" t="str">
        <x:v>la-naturaleza-de-las-cosas-invisibles</x:v>
      </x:c>
      <x:c r="D97" s="8" t="str">
        <x:v>sala-nemesio</x:v>
      </x:c>
      <x:c r="E97" s="9" t="n">
        <x:v>46246.5</x:v>
      </x:c>
      <x:c r="F97" s="10" t="n">
        <x:v>0.625</x:v>
      </x:c>
      <x:c r="G97" s="11" t="n">
        <x:v>46246.791666666664</x:v>
      </x:c>
      <x:c r="H97" s="8" t="str">
        <x:v>America/Santiago</x:v>
      </x:c>
      <x:c r="I97" s="8" t="str">
        <x:v>website</x:v>
      </x:c>
      <x:c r="J97" s="12" t="str">
        <x:v>https://ticketplus.cl/events/la-naturaleza-de-las-cosas-invisibles</x:v>
      </x:c>
      <x:c r="K97" s="12" t="str">
        <x:v>https://ticketplus.cl/events/la-naturaleza-de-las-cosas-invisibles#2026-08-12T15:00</x:v>
      </x:c>
      <x:c r="L97" s="13" t="n">
        <x:v>46245.63531271991</x:v>
      </x:c>
      <x:c r="M97" s="12" t="str">
        <x:v>la-naturaleza-de-las-cosas-invisibles:sala-nemesio:2026-08-12T19:00:00.000Z</x:v>
      </x:c>
      <x:c r="N97" s="8" t="str">
        <x:f>IF(E97&gt;='Resumen'!$B$8,"Próxima","Pasada")</x:f>
        <x:v>Próxima</x:v>
      </x:c>
    </x:row>
    <x:row r="98">
      <x:c r="A98" s="12" t="str">
        <x:v>La naturaleza de las cosas invisibles</x:v>
      </x:c>
      <x:c r="B98" s="12" t="str">
        <x:v>Sala Nemesio</x:v>
      </x:c>
      <x:c r="C98" s="8" t="str">
        <x:v>la-naturaleza-de-las-cosas-invisibles</x:v>
      </x:c>
      <x:c r="D98" s="8" t="str">
        <x:v>sala-nemesio</x:v>
      </x:c>
      <x:c r="E98" s="9" t="n">
        <x:v>46252.5</x:v>
      </x:c>
      <x:c r="F98" s="10" t="n">
        <x:v>0.625</x:v>
      </x:c>
      <x:c r="G98" s="11" t="n">
        <x:v>46252.791666666664</x:v>
      </x:c>
      <x:c r="H98" s="8" t="str">
        <x:v>America/Santiago</x:v>
      </x:c>
      <x:c r="I98" s="8" t="str">
        <x:v>website</x:v>
      </x:c>
      <x:c r="J98" s="12" t="str">
        <x:v>https://ticketplus.cl/events/la-naturaleza-de-las-cosas-invisibles</x:v>
      </x:c>
      <x:c r="K98" s="12" t="str">
        <x:v>https://ticketplus.cl/events/la-naturaleza-de-las-cosas-invisibles#2026-08-18T15:00</x:v>
      </x:c>
      <x:c r="L98" s="13" t="n">
        <x:v>46245.63531271991</x:v>
      </x:c>
      <x:c r="M98" s="12" t="str">
        <x:v>la-naturaleza-de-las-cosas-invisibles:sala-nemesio:2026-08-18T19:00:00.000Z</x:v>
      </x:c>
      <x:c r="N98" s="8" t="str">
        <x:f>IF(E98&gt;='Resumen'!$B$8,"Próxima","Pasada")</x:f>
        <x:v>Próxima</x:v>
      </x:c>
    </x:row>
    <x:row r="99">
      <x:c r="A99" s="12" t="str">
        <x:v>La naturaleza de las cosas invisibles</x:v>
      </x:c>
      <x:c r="B99" s="12" t="str">
        <x:v>Sala Nemesio</x:v>
      </x:c>
      <x:c r="C99" s="8" t="str">
        <x:v>la-naturaleza-de-las-cosas-invisibles</x:v>
      </x:c>
      <x:c r="D99" s="8" t="str">
        <x:v>sala-nemesio</x:v>
      </x:c>
      <x:c r="E99" s="9" t="n">
        <x:v>46253.5</x:v>
      </x:c>
      <x:c r="F99" s="10" t="n">
        <x:v>0.625</x:v>
      </x:c>
      <x:c r="G99" s="11" t="n">
        <x:v>46253.791666666664</x:v>
      </x:c>
      <x:c r="H99" s="8" t="str">
        <x:v>America/Santiago</x:v>
      </x:c>
      <x:c r="I99" s="8" t="str">
        <x:v>website</x:v>
      </x:c>
      <x:c r="J99" s="12" t="str">
        <x:v>https://ticketplus.cl/events/la-naturaleza-de-las-cosas-invisibles</x:v>
      </x:c>
      <x:c r="K99" s="12" t="str">
        <x:v>https://ticketplus.cl/events/la-naturaleza-de-las-cosas-invisibles#2026-08-19T15:00</x:v>
      </x:c>
      <x:c r="L99" s="13" t="n">
        <x:v>46245.63531271991</x:v>
      </x:c>
      <x:c r="M99" s="12" t="str">
        <x:v>la-naturaleza-de-las-cosas-invisibles:sala-nemesio:2026-08-19T19:00:00.000Z</x:v>
      </x:c>
      <x:c r="N99" s="8" t="str">
        <x:f>IF(E99&gt;='Resumen'!$B$8,"Próxima","Pasada")</x:f>
        <x:v>Próxima</x:v>
      </x:c>
    </x:row>
    <x:row r="100">
      <x:c r="A100" s="12" t="str">
        <x:v>Calle Málaga</x:v>
      </x:c>
      <x:c r="B100" s="12" t="str">
        <x:v>Sala Nemesio</x:v>
      </x:c>
      <x:c r="C100" s="8" t="str">
        <x:v>calle-malaga</x:v>
      </x:c>
      <x:c r="D100" s="8" t="str">
        <x:v>sala-nemesio</x:v>
      </x:c>
      <x:c r="E100" s="9" t="n">
        <x:v>46247.5</x:v>
      </x:c>
      <x:c r="F100" s="10" t="n">
        <x:v>0.8125</x:v>
      </x:c>
      <x:c r="G100" s="11" t="n">
        <x:v>46247.979166666664</x:v>
      </x:c>
      <x:c r="H100" s="8" t="str">
        <x:v>America/Santiago</x:v>
      </x:c>
      <x:c r="I100" s="8" t="str">
        <x:v>website</x:v>
      </x:c>
      <x:c r="J100" s="12" t="str">
        <x:v>https://ticketplus.cl/events/calle-malaga</x:v>
      </x:c>
      <x:c r="K100" s="12" t="str">
        <x:v>https://ticketplus.cl/events/calle-malaga#2026-08-13T19:30</x:v>
      </x:c>
      <x:c r="L100" s="13" t="n">
        <x:v>46245.63531434028</x:v>
      </x:c>
      <x:c r="M100" s="12" t="str">
        <x:v>calle-malaga:sala-nemesio:2026-08-13T23:30:00.000Z</x:v>
      </x:c>
      <x:c r="N100" s="8" t="str">
        <x:f>IF(E100&gt;='Resumen'!$B$8,"Próxima","Pasada")</x:f>
        <x:v>Próxima</x:v>
      </x:c>
    </x:row>
    <x:row r="101">
      <x:c r="A101" s="12" t="str">
        <x:v>Calle Málaga</x:v>
      </x:c>
      <x:c r="B101" s="12" t="str">
        <x:v>Sala Nemesio</x:v>
      </x:c>
      <x:c r="C101" s="8" t="str">
        <x:v>calle-malaga</x:v>
      </x:c>
      <x:c r="D101" s="8" t="str">
        <x:v>sala-nemesio</x:v>
      </x:c>
      <x:c r="E101" s="9" t="n">
        <x:v>46248.5</x:v>
      </x:c>
      <x:c r="F101" s="10" t="n">
        <x:v>0.75</x:v>
      </x:c>
      <x:c r="G101" s="11" t="n">
        <x:v>46248.916666666664</x:v>
      </x:c>
      <x:c r="H101" s="8" t="str">
        <x:v>America/Santiago</x:v>
      </x:c>
      <x:c r="I101" s="8" t="str">
        <x:v>website</x:v>
      </x:c>
      <x:c r="J101" s="12" t="str">
        <x:v>https://ticketplus.cl/events/calle-malaga</x:v>
      </x:c>
      <x:c r="K101" s="12" t="str">
        <x:v>https://ticketplus.cl/events/calle-malaga#2026-08-14T18:00</x:v>
      </x:c>
      <x:c r="L101" s="13" t="n">
        <x:v>46245.63531434028</x:v>
      </x:c>
      <x:c r="M101" s="12" t="str">
        <x:v>calle-malaga:sala-nemesio:2026-08-14T22:00:00.000Z</x:v>
      </x:c>
      <x:c r="N101" s="8" t="str">
        <x:f>IF(E101&gt;='Resumen'!$B$8,"Próxima","Pasada")</x:f>
        <x:v>Próxima</x:v>
      </x:c>
    </x:row>
    <x:row r="102">
      <x:c r="A102" s="12" t="str">
        <x:v>SCOTT PILGRIM</x:v>
      </x:c>
      <x:c r="B102" s="12" t="str">
        <x:v>Raulí 571, Santiago, Chile</x:v>
      </x:c>
      <x:c r="C102" s="8" t="str">
        <x:v>scott-pilgrim</x:v>
      </x:c>
      <x:c r="D102" s="8" t="str">
        <x:v>rauli-571-santiago-chile</x:v>
      </x:c>
      <x:c r="E102" s="9" t="n">
        <x:v>46247.5</x:v>
      </x:c>
      <x:c r="F102" s="10" t="n">
        <x:v>0.8333333333333334</x:v>
      </x:c>
      <x:c r="G102" s="11" t="n">
        <x:v>46248</x:v>
      </x:c>
      <x:c r="H102" s="8" t="str">
        <x:v>America/Santiago</x:v>
      </x:c>
      <x:c r="I102" s="8" t="str">
        <x:v>website</x:v>
      </x:c>
      <x:c r="J102" s="12" t="str">
        <x:v>https://www.ecopass.cl/producers/productor/2368</x:v>
      </x:c>
      <x:c r="K102" s="12" t="str">
        <x:v>18667</x:v>
      </x:c>
      <x:c r="L102" s="13" t="n">
        <x:v>46245.63532612268</x:v>
      </x:c>
      <x:c r="M102" s="12" t="str">
        <x:v>scott-pilgrim:rauli-571-santiago-chile:2026-08-14T00:00:00.000Z</x:v>
      </x:c>
      <x:c r="N102" s="8" t="str">
        <x:f>IF(E102&gt;='Resumen'!$B$8,"Próxima","Pasada")</x:f>
        <x:v>Próxima</x:v>
      </x:c>
    </x:row>
    <x:row r="103">
      <x:c r="A103" s="12" t="str">
        <x:v>EL PÁRAMO DEL CIUDADANO</x:v>
      </x:c>
      <x:c r="B103" s="12" t="str">
        <x:v>Raulí 571, Santiago, Chile</x:v>
      </x:c>
      <x:c r="C103" s="8" t="str">
        <x:v>el-paramo-del-ciudadano</x:v>
      </x:c>
      <x:c r="D103" s="8" t="str">
        <x:v>rauli-571-santiago-chile</x:v>
      </x:c>
      <x:c r="E103" s="9" t="n">
        <x:v>46248.5</x:v>
      </x:c>
      <x:c r="F103" s="10" t="n">
        <x:v>0.7083333333333334</x:v>
      </x:c>
      <x:c r="G103" s="11" t="n">
        <x:v>46248.875</x:v>
      </x:c>
      <x:c r="H103" s="8" t="str">
        <x:v>America/Santiago</x:v>
      </x:c>
      <x:c r="I103" s="8" t="str">
        <x:v>website</x:v>
      </x:c>
      <x:c r="J103" s="12" t="str">
        <x:v>https://www.ecopass.cl/producers/productor/2368</x:v>
      </x:c>
      <x:c r="K103" s="12" t="str">
        <x:v>18692</x:v>
      </x:c>
      <x:c r="L103" s="13" t="n">
        <x:v>46245.63532612268</x:v>
      </x:c>
      <x:c r="M103" s="12" t="str">
        <x:v>el-paramo-del-ciudadano:rauli-571-santiago-chile:2026-08-14T21:00:00.000Z</x:v>
      </x:c>
      <x:c r="N103" s="8" t="str">
        <x:f>IF(E103&gt;='Resumen'!$B$8,"Próxima","Pasada")</x:f>
        <x:v>Próxima</x:v>
      </x:c>
    </x:row>
    <x:row r="104">
      <x:c r="A104" s="12" t="str">
        <x:v>LA NATURALEZA DE LAS COSAS INVICIBLES</x:v>
      </x:c>
      <x:c r="B104" s="12" t="str">
        <x:v>Raulí 571, Santiago, Chile</x:v>
      </x:c>
      <x:c r="C104" s="8" t="str">
        <x:v>la-naturaleza-de-las-cosas-invicibles</x:v>
      </x:c>
      <x:c r="D104" s="8" t="str">
        <x:v>rauli-571-santiago-chile</x:v>
      </x:c>
      <x:c r="E104" s="9" t="n">
        <x:v>46248.5</x:v>
      </x:c>
      <x:c r="F104" s="10" t="n">
        <x:v>0.8333333333333334</x:v>
      </x:c>
      <x:c r="G104" s="11" t="n">
        <x:v>46249</x:v>
      </x:c>
      <x:c r="H104" s="8" t="str">
        <x:v>America/Santiago</x:v>
      </x:c>
      <x:c r="I104" s="8" t="str">
        <x:v>website</x:v>
      </x:c>
      <x:c r="J104" s="12" t="str">
        <x:v>https://www.ecopass.cl/producers/productor/2368</x:v>
      </x:c>
      <x:c r="K104" s="12" t="str">
        <x:v>18701</x:v>
      </x:c>
      <x:c r="L104" s="13" t="n">
        <x:v>46245.63532612268</x:v>
      </x:c>
      <x:c r="M104" s="12" t="str">
        <x:v>la-naturaleza-de-las-cosas-invicibles:rauli-571-santiago-chile:2026-08-15T00:00:00.000Z</x:v>
      </x:c>
      <x:c r="N104" s="8" t="str">
        <x:f>IF(E104&gt;='Resumen'!$B$8,"Próxima","Pasada")</x:f>
        <x:v>Próxima</x:v>
      </x:c>
    </x:row>
    <x:row r="105">
      <x:c r="A105" s="12" t="str">
        <x:v>LOS ARISTOGATOS</x:v>
      </x:c>
      <x:c r="B105" s="12" t="str">
        <x:v>Raulí 571, Santiago, Chile</x:v>
      </x:c>
      <x:c r="C105" s="8" t="str">
        <x:v>los-aristogatos</x:v>
      </x:c>
      <x:c r="D105" s="8" t="str">
        <x:v>rauli-571-santiago-chile</x:v>
      </x:c>
      <x:c r="E105" s="9" t="n">
        <x:v>46249.5</x:v>
      </x:c>
      <x:c r="F105" s="10" t="n">
        <x:v>0.7083333333333334</x:v>
      </x:c>
      <x:c r="G105" s="11" t="n">
        <x:v>46249.875</x:v>
      </x:c>
      <x:c r="H105" s="8" t="str">
        <x:v>America/Santiago</x:v>
      </x:c>
      <x:c r="I105" s="8" t="str">
        <x:v>website</x:v>
      </x:c>
      <x:c r="J105" s="12" t="str">
        <x:v>https://www.ecopass.cl/producers/productor/2368</x:v>
      </x:c>
      <x:c r="K105" s="12" t="str">
        <x:v>18686</x:v>
      </x:c>
      <x:c r="L105" s="13" t="n">
        <x:v>46245.63532612268</x:v>
      </x:c>
      <x:c r="M105" s="12" t="str">
        <x:v>los-aristogatos:rauli-571-santiago-chile:2026-08-15T21:00:00.000Z</x:v>
      </x:c>
      <x:c r="N105" s="8" t="str">
        <x:f>IF(E105&gt;='Resumen'!$B$8,"Próxima","Pasada")</x:f>
        <x:v>Próxima</x:v>
      </x:c>
    </x:row>
    <x:row r="106">
      <x:c r="A106" s="12" t="str">
        <x:v>EL MUNDO AL REVÉS</x:v>
      </x:c>
      <x:c r="B106" s="12" t="str">
        <x:v>Raulí 571, Santiago, Chile</x:v>
      </x:c>
      <x:c r="C106" s="8" t="str">
        <x:v>el-mundo-al-reves</x:v>
      </x:c>
      <x:c r="D106" s="8" t="str">
        <x:v>rauli-571-santiago-chile</x:v>
      </x:c>
      <x:c r="E106" s="9" t="n">
        <x:v>46249.5</x:v>
      </x:c>
      <x:c r="F106" s="10" t="n">
        <x:v>0.8333333333333334</x:v>
      </x:c>
      <x:c r="G106" s="11" t="n">
        <x:v>46250</x:v>
      </x:c>
      <x:c r="H106" s="8" t="str">
        <x:v>America/Santiago</x:v>
      </x:c>
      <x:c r="I106" s="8" t="str">
        <x:v>website</x:v>
      </x:c>
      <x:c r="J106" s="12" t="str">
        <x:v>https://www.ecopass.cl/producers/productor/2368</x:v>
      </x:c>
      <x:c r="K106" s="12" t="str">
        <x:v>18702</x:v>
      </x:c>
      <x:c r="L106" s="13" t="n">
        <x:v>46245.63532612268</x:v>
      </x:c>
      <x:c r="M106" s="12" t="str">
        <x:v>el-mundo-al-reves:rauli-571-santiago-chile:2026-08-16T00:00:00.000Z</x:v>
      </x:c>
      <x:c r="N106" s="8" t="str">
        <x:f>IF(E106&gt;='Resumen'!$B$8,"Próxima","Pasada")</x:f>
        <x:v>Próxima</x:v>
      </x:c>
    </x:row>
    <x:row r="107">
      <x:c r="A107" s="12" t="str">
        <x:v>EL VECINO</x:v>
      </x:c>
      <x:c r="B107" s="12" t="str">
        <x:v>Raulí 571, Santiago, Chile</x:v>
      </x:c>
      <x:c r="C107" s="8" t="str">
        <x:v>el-vecino</x:v>
      </x:c>
      <x:c r="D107" s="8" t="str">
        <x:v>rauli-571-santiago-chile</x:v>
      </x:c>
      <x:c r="E107" s="9" t="n">
        <x:v>46254.5</x:v>
      </x:c>
      <x:c r="F107" s="10" t="n">
        <x:v>0.8333333333333334</x:v>
      </x:c>
      <x:c r="G107" s="11" t="n">
        <x:v>46255</x:v>
      </x:c>
      <x:c r="H107" s="8" t="str">
        <x:v>America/Santiago</x:v>
      </x:c>
      <x:c r="I107" s="8" t="str">
        <x:v>website</x:v>
      </x:c>
      <x:c r="J107" s="12" t="str">
        <x:v>https://www.ecopass.cl/producers/productor/2368</x:v>
      </x:c>
      <x:c r="K107" s="12" t="str">
        <x:v>18703</x:v>
      </x:c>
      <x:c r="L107" s="13" t="n">
        <x:v>46245.63532612268</x:v>
      </x:c>
      <x:c r="M107" s="12" t="str">
        <x:v>el-vecino:rauli-571-santiago-chile:2026-08-21T00:00:00.000Z</x:v>
      </x:c>
      <x:c r="N107" s="8" t="str">
        <x:f>IF(E107&gt;='Resumen'!$B$8,"Próxima","Pasada")</x:f>
        <x:v>Próxima</x:v>
      </x:c>
    </x:row>
    <x:row r="108">
      <x:c r="A108" s="12" t="str">
        <x:v>EL HÚSAR DE LA MUERTE</x:v>
      </x:c>
      <x:c r="B108" s="12" t="str">
        <x:v>Raulí 571, Santiago, Chile</x:v>
      </x:c>
      <x:c r="C108" s="8" t="str">
        <x:v>el-husar-de-la-muerte</x:v>
      </x:c>
      <x:c r="D108" s="8" t="str">
        <x:v>rauli-571-santiago-chile</x:v>
      </x:c>
      <x:c r="E108" s="9" t="n">
        <x:v>46255.5</x:v>
      </x:c>
      <x:c r="F108" s="10" t="n">
        <x:v>0.7083333333333334</x:v>
      </x:c>
      <x:c r="G108" s="11" t="n">
        <x:v>46255.875</x:v>
      </x:c>
      <x:c r="H108" s="8" t="str">
        <x:v>America/Santiago</x:v>
      </x:c>
      <x:c r="I108" s="8" t="str">
        <x:v>website</x:v>
      </x:c>
      <x:c r="J108" s="12" t="str">
        <x:v>https://www.ecopass.cl/producers/productor/2368</x:v>
      </x:c>
      <x:c r="K108" s="12" t="str">
        <x:v>18704</x:v>
      </x:c>
      <x:c r="L108" s="13" t="n">
        <x:v>46245.63532612268</x:v>
      </x:c>
      <x:c r="M108" s="12" t="str">
        <x:v>el-husar-de-la-muerte:rauli-571-santiago-chile:2026-08-21T21:00:00.000Z</x:v>
      </x:c>
      <x:c r="N108" s="8" t="str">
        <x:f>IF(E108&gt;='Resumen'!$B$8,"Próxima","Pasada")</x:f>
        <x:v>Próxima</x:v>
      </x:c>
    </x:row>
    <x:row r="109">
      <x:c r="A109" s="12" t="str">
        <x:v>LA NATURALEZA DE LAS COSAS INVICIBLES</x:v>
      </x:c>
      <x:c r="B109" s="12" t="str">
        <x:v>Raulí 571, Santiago, Chile</x:v>
      </x:c>
      <x:c r="C109" s="8" t="str">
        <x:v>la-naturaleza-de-las-cosas-invicibles</x:v>
      </x:c>
      <x:c r="D109" s="8" t="str">
        <x:v>rauli-571-santiago-chile</x:v>
      </x:c>
      <x:c r="E109" s="9" t="n">
        <x:v>46255.5</x:v>
      </x:c>
      <x:c r="F109" s="10" t="n">
        <x:v>0.8333333333333334</x:v>
      </x:c>
      <x:c r="G109" s="11" t="n">
        <x:v>46256</x:v>
      </x:c>
      <x:c r="H109" s="8" t="str">
        <x:v>America/Santiago</x:v>
      </x:c>
      <x:c r="I109" s="8" t="str">
        <x:v>website</x:v>
      </x:c>
      <x:c r="J109" s="12" t="str">
        <x:v>https://www.ecopass.cl/producers/productor/2368</x:v>
      </x:c>
      <x:c r="K109" s="12" t="str">
        <x:v>18737</x:v>
      </x:c>
      <x:c r="L109" s="13" t="n">
        <x:v>46245.63532612268</x:v>
      </x:c>
      <x:c r="M109" s="12" t="str">
        <x:v>la-naturaleza-de-las-cosas-invicibles:rauli-571-santiago-chile:2026-08-22T00:00:00.000Z</x:v>
      </x:c>
      <x:c r="N109" s="8" t="str">
        <x:f>IF(E109&gt;='Resumen'!$B$8,"Próxima","Pasada")</x:f>
        <x:v>Próxima</x:v>
      </x:c>
    </x:row>
    <x:row r="110">
      <x:c r="A110" s="12" t="str">
        <x:v>EL LIBRO DE LA SELVA</x:v>
      </x:c>
      <x:c r="B110" s="12" t="str">
        <x:v>Raulí 571, Santiago, Chile</x:v>
      </x:c>
      <x:c r="C110" s="8" t="str">
        <x:v>el-libro-de-la-selva</x:v>
      </x:c>
      <x:c r="D110" s="8" t="str">
        <x:v>rauli-571-santiago-chile</x:v>
      </x:c>
      <x:c r="E110" s="9" t="n">
        <x:v>46256.5</x:v>
      </x:c>
      <x:c r="F110" s="10" t="n">
        <x:v>0.7083333333333334</x:v>
      </x:c>
      <x:c r="G110" s="11" t="n">
        <x:v>46256.875</x:v>
      </x:c>
      <x:c r="H110" s="8" t="str">
        <x:v>America/Santiago</x:v>
      </x:c>
      <x:c r="I110" s="8" t="str">
        <x:v>website</x:v>
      </x:c>
      <x:c r="J110" s="12" t="str">
        <x:v>https://www.ecopass.cl/producers/productor/2368</x:v>
      </x:c>
      <x:c r="K110" s="12" t="str">
        <x:v>18687</x:v>
      </x:c>
      <x:c r="L110" s="13" t="n">
        <x:v>46245.63532612268</x:v>
      </x:c>
      <x:c r="M110" s="12" t="str">
        <x:v>el-libro-de-la-selva:rauli-571-santiago-chile:2026-08-22T21:00:00.000Z</x:v>
      </x:c>
      <x:c r="N110" s="8" t="str">
        <x:f>IF(E110&gt;='Resumen'!$B$8,"Próxima","Pasada")</x:f>
        <x:v>Próxima</x:v>
      </x:c>
    </x:row>
    <x:row r="111">
      <x:c r="A111" s="12" t="str">
        <x:v>EL MUNDO AL REVÉS</x:v>
      </x:c>
      <x:c r="B111" s="12" t="str">
        <x:v>Raulí 571, Santiago, Chile</x:v>
      </x:c>
      <x:c r="C111" s="8" t="str">
        <x:v>el-mundo-al-reves</x:v>
      </x:c>
      <x:c r="D111" s="8" t="str">
        <x:v>rauli-571-santiago-chile</x:v>
      </x:c>
      <x:c r="E111" s="9" t="n">
        <x:v>46256.5</x:v>
      </x:c>
      <x:c r="F111" s="10" t="n">
        <x:v>0.8333333333333334</x:v>
      </x:c>
      <x:c r="G111" s="11" t="n">
        <x:v>46257</x:v>
      </x:c>
      <x:c r="H111" s="8" t="str">
        <x:v>America/Santiago</x:v>
      </x:c>
      <x:c r="I111" s="8" t="str">
        <x:v>website</x:v>
      </x:c>
      <x:c r="J111" s="12" t="str">
        <x:v>https://www.ecopass.cl/producers/productor/2368</x:v>
      </x:c>
      <x:c r="K111" s="12" t="str">
        <x:v>18705</x:v>
      </x:c>
      <x:c r="L111" s="13" t="n">
        <x:v>46245.63532612268</x:v>
      </x:c>
      <x:c r="M111" s="12" t="str">
        <x:v>el-mundo-al-reves:rauli-571-santiago-chile:2026-08-23T00:00:00.000Z</x:v>
      </x:c>
      <x:c r="N111" s="8" t="str">
        <x:f>IF(E111&gt;='Resumen'!$B$8,"Próxima","Pasada")</x:f>
        <x:v>Próxima</x:v>
      </x:c>
    </x:row>
    <x:row r="112">
      <x:c r="A112" s="12" t="str">
        <x:v>ESPECIAL PEDRO CHASKEL</x:v>
      </x:c>
      <x:c r="B112" s="12" t="str">
        <x:v>Raulí 571, Santiago, Chile</x:v>
      </x:c>
      <x:c r="C112" s="8" t="str">
        <x:v>especial-pedro-chaskel</x:v>
      </x:c>
      <x:c r="D112" s="8" t="str">
        <x:v>rauli-571-santiago-chile</x:v>
      </x:c>
      <x:c r="E112" s="9" t="n">
        <x:v>46261.5</x:v>
      </x:c>
      <x:c r="F112" s="10" t="n">
        <x:v>0.8333333333333334</x:v>
      </x:c>
      <x:c r="G112" s="11" t="n">
        <x:v>46262</x:v>
      </x:c>
      <x:c r="H112" s="8" t="str">
        <x:v>America/Santiago</x:v>
      </x:c>
      <x:c r="I112" s="8" t="str">
        <x:v>website</x:v>
      </x:c>
      <x:c r="J112" s="12" t="str">
        <x:v>https://www.ecopass.cl/producers/productor/2368</x:v>
      </x:c>
      <x:c r="K112" s="12" t="str">
        <x:v>18738</x:v>
      </x:c>
      <x:c r="L112" s="13" t="n">
        <x:v>46245.63532612268</x:v>
      </x:c>
      <x:c r="M112" s="12" t="str">
        <x:v>especial-pedro-chaskel:rauli-571-santiago-chile:2026-08-28T00:00:00.000Z</x:v>
      </x:c>
      <x:c r="N112" s="8" t="str">
        <x:f>IF(E112&gt;='Resumen'!$B$8,"Próxima","Pasada")</x:f>
        <x:v>Próxima</x:v>
      </x:c>
    </x:row>
    <x:row r="113">
      <x:c r="A113" s="12" t="str">
        <x:v>WALLACE Y GROMIT: LA BATALLA DE LOS VEGETALES</x:v>
      </x:c>
      <x:c r="B113" s="12" t="str">
        <x:v>Raulí 571, Santiago, Chile</x:v>
      </x:c>
      <x:c r="C113" s="8" t="str">
        <x:v>wallace-y-gromit-la-batalla-de-los-vegetales</x:v>
      </x:c>
      <x:c r="D113" s="8" t="str">
        <x:v>rauli-571-santiago-chile</x:v>
      </x:c>
      <x:c r="E113" s="9" t="n">
        <x:v>46263.5</x:v>
      </x:c>
      <x:c r="F113" s="10" t="n">
        <x:v>0.7083333333333334</x:v>
      </x:c>
      <x:c r="G113" s="11" t="n">
        <x:v>46263.875</x:v>
      </x:c>
      <x:c r="H113" s="8" t="str">
        <x:v>America/Santiago</x:v>
      </x:c>
      <x:c r="I113" s="8" t="str">
        <x:v>website</x:v>
      </x:c>
      <x:c r="J113" s="12" t="str">
        <x:v>https://www.ecopass.cl/producers/productor/2368</x:v>
      </x:c>
      <x:c r="K113" s="12" t="str">
        <x:v>18688</x:v>
      </x:c>
      <x:c r="L113" s="13" t="n">
        <x:v>46245.63532612268</x:v>
      </x:c>
      <x:c r="M113" s="12" t="str">
        <x:v>wallace-y-gromit-la-batalla-de-los-vegetales:rauli-571-santiago-chile:2026-08-29T21:00:00.000Z</x:v>
      </x:c>
      <x:c r="N113" s="8" t="str">
        <x:f>IF(E113&gt;='Resumen'!$B$8,"Próxima","Pasada")</x:f>
        <x:v>Próxima</x:v>
      </x:c>
    </x:row>
    <x:row r="114">
      <x:c r="A114" s="12" t="str">
        <x:v>La Naturaleza de las Cosas Invisibles</x:v>
      </x:c>
      <x:c r="B114" s="12" t="str">
        <x:v>Matucana 100</x:v>
      </x:c>
      <x:c r="C114" s="8" t="str">
        <x:v>la-naturaleza-de-las-cosas-invisibles</x:v>
      </x:c>
      <x:c r="D114" s="8" t="str">
        <x:v>matucana-100</x:v>
      </x:c>
      <x:c r="E114" s="9" t="n">
        <x:v>46240.5</x:v>
      </x:c>
      <x:c r="F114" s="10" t="n">
        <x:v>0.8333333333333334</x:v>
      </x:c>
      <x:c r="G114" s="11" t="n">
        <x:v>46241</x:v>
      </x:c>
      <x:c r="H114" s="8" t="str">
        <x:v>America/Santiago</x:v>
      </x:c>
      <x:c r="I114" s="8" t="str">
        <x:v>website</x:v>
      </x:c>
      <x:c r="J114" s="12" t="str">
        <x:v>https://www.m100.cl/programacion/cine/la-naturaleza-de-las-cosas-invisibles/</x:v>
      </x:c>
      <x:c r="K114" s="12" t="str">
        <x:v>https://www.m100.cl/programacion/cine/la-naturaleza-de-las-cosas-invisibles/#2026-08-06T20:00</x:v>
      </x:c>
      <x:c r="L114" s="13" t="n">
        <x:v>46245.63534995371</x:v>
      </x:c>
      <x:c r="M114" s="12" t="str">
        <x:v>la-naturaleza-de-las-cosas-invisibles:matucana-100:2026-08-07T00:00:00.000Z</x:v>
      </x:c>
      <x:c r="N114" s="8" t="str">
        <x:f>IF(E114&gt;='Resumen'!$B$8,"Próxima","Pasada")</x:f>
        <x:v>Pasada</x:v>
      </x:c>
    </x:row>
    <x:row r="115">
      <x:c r="A115" s="12" t="str">
        <x:v>La Naturaleza de las Cosas Invisibles</x:v>
      </x:c>
      <x:c r="B115" s="12" t="str">
        <x:v>Matucana 100</x:v>
      </x:c>
      <x:c r="C115" s="8" t="str">
        <x:v>la-naturaleza-de-las-cosas-invisibles</x:v>
      </x:c>
      <x:c r="D115" s="8" t="str">
        <x:v>matucana-100</x:v>
      </x:c>
      <x:c r="E115" s="9" t="n">
        <x:v>46241.5</x:v>
      </x:c>
      <x:c r="F115" s="10" t="n">
        <x:v>0.8333333333333334</x:v>
      </x:c>
      <x:c r="G115" s="11" t="n">
        <x:v>46242</x:v>
      </x:c>
      <x:c r="H115" s="8" t="str">
        <x:v>America/Santiago</x:v>
      </x:c>
      <x:c r="I115" s="8" t="str">
        <x:v>website</x:v>
      </x:c>
      <x:c r="J115" s="12" t="str">
        <x:v>https://www.m100.cl/programacion/cine/la-naturaleza-de-las-cosas-invisibles/</x:v>
      </x:c>
      <x:c r="K115" s="12" t="str">
        <x:v>https://www.m100.cl/programacion/cine/la-naturaleza-de-las-cosas-invisibles/#2026-08-07T20:00</x:v>
      </x:c>
      <x:c r="L115" s="13" t="n">
        <x:v>46245.63534995371</x:v>
      </x:c>
      <x:c r="M115" s="12" t="str">
        <x:v>la-naturaleza-de-las-cosas-invisibles:matucana-100:2026-08-08T00:00:00.000Z</x:v>
      </x:c>
      <x:c r="N115" s="8" t="str">
        <x:f>IF(E115&gt;='Resumen'!$B$8,"Próxima","Pasada")</x:f>
        <x:v>Pasada</x:v>
      </x:c>
    </x:row>
    <x:row r="116">
      <x:c r="A116" s="12" t="str">
        <x:v>La Naturaleza de las Cosas Invisibles</x:v>
      </x:c>
      <x:c r="B116" s="12" t="str">
        <x:v>Matucana 100</x:v>
      </x:c>
      <x:c r="C116" s="8" t="str">
        <x:v>la-naturaleza-de-las-cosas-invisibles</x:v>
      </x:c>
      <x:c r="D116" s="8" t="str">
        <x:v>matucana-100</x:v>
      </x:c>
      <x:c r="E116" s="9" t="n">
        <x:v>46242.5</x:v>
      </x:c>
      <x:c r="F116" s="10" t="n">
        <x:v>0.8333333333333334</x:v>
      </x:c>
      <x:c r="G116" s="11" t="n">
        <x:v>46243</x:v>
      </x:c>
      <x:c r="H116" s="8" t="str">
        <x:v>America/Santiago</x:v>
      </x:c>
      <x:c r="I116" s="8" t="str">
        <x:v>website</x:v>
      </x:c>
      <x:c r="J116" s="12" t="str">
        <x:v>https://www.m100.cl/programacion/cine/la-naturaleza-de-las-cosas-invisibles/</x:v>
      </x:c>
      <x:c r="K116" s="12" t="str">
        <x:v>https://www.m100.cl/programacion/cine/la-naturaleza-de-las-cosas-invisibles/#2026-08-08T20:00</x:v>
      </x:c>
      <x:c r="L116" s="13" t="n">
        <x:v>46245.63534995371</x:v>
      </x:c>
      <x:c r="M116" s="12" t="str">
        <x:v>la-naturaleza-de-las-cosas-invisibles:matucana-100:2026-08-09T00:00:00.000Z</x:v>
      </x:c>
      <x:c r="N116" s="8" t="str">
        <x:f>IF(E116&gt;='Resumen'!$B$8,"Próxima","Pasada")</x:f>
        <x:v>Pasada</x:v>
      </x:c>
    </x:row>
    <x:row r="117">
      <x:c r="A117" s="12" t="str">
        <x:v>La Naturaleza de las Cosas Invisibles</x:v>
      </x:c>
      <x:c r="B117" s="12" t="str">
        <x:v>Matucana 100</x:v>
      </x:c>
      <x:c r="C117" s="8" t="str">
        <x:v>la-naturaleza-de-las-cosas-invisibles</x:v>
      </x:c>
      <x:c r="D117" s="8" t="str">
        <x:v>matucana-100</x:v>
      </x:c>
      <x:c r="E117" s="9" t="n">
        <x:v>46243.5</x:v>
      </x:c>
      <x:c r="F117" s="10" t="n">
        <x:v>0.8333333333333334</x:v>
      </x:c>
      <x:c r="G117" s="11" t="n">
        <x:v>46244</x:v>
      </x:c>
      <x:c r="H117" s="8" t="str">
        <x:v>America/Santiago</x:v>
      </x:c>
      <x:c r="I117" s="8" t="str">
        <x:v>website</x:v>
      </x:c>
      <x:c r="J117" s="12" t="str">
        <x:v>https://www.m100.cl/programacion/cine/la-naturaleza-de-las-cosas-invisibles/</x:v>
      </x:c>
      <x:c r="K117" s="12" t="str">
        <x:v>https://www.m100.cl/programacion/cine/la-naturaleza-de-las-cosas-invisibles/#2026-08-09T20:00</x:v>
      </x:c>
      <x:c r="L117" s="13" t="n">
        <x:v>46245.63534995371</x:v>
      </x:c>
      <x:c r="M117" s="12" t="str">
        <x:v>la-naturaleza-de-las-cosas-invisibles:matucana-100:2026-08-10T00:00:00.000Z</x:v>
      </x:c>
      <x:c r="N117" s="8" t="str">
        <x:f>IF(E117&gt;='Resumen'!$B$8,"Próxima","Pasada")</x:f>
        <x:v>Pasada</x:v>
      </x:c>
    </x:row>
    <x:row r="118">
      <x:c r="A118" s="12" t="str">
        <x:v>La Naturaleza de las Cosas Invisibles</x:v>
      </x:c>
      <x:c r="B118" s="12" t="str">
        <x:v>Matucana 100</x:v>
      </x:c>
      <x:c r="C118" s="8" t="str">
        <x:v>la-naturaleza-de-las-cosas-invisibles</x:v>
      </x:c>
      <x:c r="D118" s="8" t="str">
        <x:v>matucana-100</x:v>
      </x:c>
      <x:c r="E118" s="9" t="n">
        <x:v>46246.5</x:v>
      </x:c>
      <x:c r="F118" s="10" t="n">
        <x:v>0.8333333333333334</x:v>
      </x:c>
      <x:c r="G118" s="11" t="n">
        <x:v>46247</x:v>
      </x:c>
      <x:c r="H118" s="8" t="str">
        <x:v>America/Santiago</x:v>
      </x:c>
      <x:c r="I118" s="8" t="str">
        <x:v>website</x:v>
      </x:c>
      <x:c r="J118" s="12" t="str">
        <x:v>https://www.m100.cl/programacion/cine/la-naturaleza-de-las-cosas-invisibles/</x:v>
      </x:c>
      <x:c r="K118" s="12" t="str">
        <x:v>https://www.m100.cl/programacion/cine/la-naturaleza-de-las-cosas-invisibles/#2026-08-12T20:00</x:v>
      </x:c>
      <x:c r="L118" s="13" t="n">
        <x:v>46245.63534995371</x:v>
      </x:c>
      <x:c r="M118" s="12" t="str">
        <x:v>la-naturaleza-de-las-cosas-invisibles:matucana-100:2026-08-13T00:00:00.000Z</x:v>
      </x:c>
      <x:c r="N118" s="8" t="str">
        <x:f>IF(E118&gt;='Resumen'!$B$8,"Próxima","Pasada")</x:f>
        <x:v>Próxima</x:v>
      </x:c>
    </x:row>
    <x:row r="119">
      <x:c r="A119" s="12" t="str">
        <x:v>La Naturaleza de las Cosas Invisibles</x:v>
      </x:c>
      <x:c r="B119" s="12" t="str">
        <x:v>Matucana 100</x:v>
      </x:c>
      <x:c r="C119" s="8" t="str">
        <x:v>la-naturaleza-de-las-cosas-invisibles</x:v>
      </x:c>
      <x:c r="D119" s="8" t="str">
        <x:v>matucana-100</x:v>
      </x:c>
      <x:c r="E119" s="9" t="n">
        <x:v>46247.5</x:v>
      </x:c>
      <x:c r="F119" s="10" t="n">
        <x:v>0.8333333333333334</x:v>
      </x:c>
      <x:c r="G119" s="11" t="n">
        <x:v>46248</x:v>
      </x:c>
      <x:c r="H119" s="8" t="str">
        <x:v>America/Santiago</x:v>
      </x:c>
      <x:c r="I119" s="8" t="str">
        <x:v>website</x:v>
      </x:c>
      <x:c r="J119" s="12" t="str">
        <x:v>https://www.m100.cl/programacion/cine/la-naturaleza-de-las-cosas-invisibles/</x:v>
      </x:c>
      <x:c r="K119" s="12" t="str">
        <x:v>https://www.m100.cl/programacion/cine/la-naturaleza-de-las-cosas-invisibles/#2026-08-13T20:00</x:v>
      </x:c>
      <x:c r="L119" s="13" t="n">
        <x:v>46245.63534995371</x:v>
      </x:c>
      <x:c r="M119" s="12" t="str">
        <x:v>la-naturaleza-de-las-cosas-invisibles:matucana-100:2026-08-14T00:00:00.000Z</x:v>
      </x:c>
      <x:c r="N119" s="8" t="str">
        <x:f>IF(E119&gt;='Resumen'!$B$8,"Próxima","Pasada")</x:f>
        <x:v>Próxima</x:v>
      </x:c>
    </x:row>
    <x:row r="120">
      <x:c r="A120" s="12" t="str">
        <x:v>La Naturaleza de las Cosas Invisibles</x:v>
      </x:c>
      <x:c r="B120" s="12" t="str">
        <x:v>Matucana 100</x:v>
      </x:c>
      <x:c r="C120" s="8" t="str">
        <x:v>la-naturaleza-de-las-cosas-invisibles</x:v>
      </x:c>
      <x:c r="D120" s="8" t="str">
        <x:v>matucana-100</x:v>
      </x:c>
      <x:c r="E120" s="9" t="n">
        <x:v>46248.5</x:v>
      </x:c>
      <x:c r="F120" s="10" t="n">
        <x:v>0.8333333333333334</x:v>
      </x:c>
      <x:c r="G120" s="11" t="n">
        <x:v>46249</x:v>
      </x:c>
      <x:c r="H120" s="8" t="str">
        <x:v>America/Santiago</x:v>
      </x:c>
      <x:c r="I120" s="8" t="str">
        <x:v>website</x:v>
      </x:c>
      <x:c r="J120" s="12" t="str">
        <x:v>https://www.m100.cl/programacion/cine/la-naturaleza-de-las-cosas-invisibles/</x:v>
      </x:c>
      <x:c r="K120" s="12" t="str">
        <x:v>https://www.m100.cl/programacion/cine/la-naturaleza-de-las-cosas-invisibles/#2026-08-14T20:00</x:v>
      </x:c>
      <x:c r="L120" s="13" t="n">
        <x:v>46245.63534995371</x:v>
      </x:c>
      <x:c r="M120" s="12" t="str">
        <x:v>la-naturaleza-de-las-cosas-invisibles:matucana-100:2026-08-15T00:00:00.000Z</x:v>
      </x:c>
      <x:c r="N120" s="8" t="str">
        <x:f>IF(E120&gt;='Resumen'!$B$8,"Próxima","Pasada")</x:f>
        <x:v>Próxima</x:v>
      </x:c>
    </x:row>
    <x:row r="121">
      <x:c r="A121" s="12" t="str">
        <x:v>La Naturaleza de las Cosas Invisibles</x:v>
      </x:c>
      <x:c r="B121" s="12" t="str">
        <x:v>Matucana 100</x:v>
      </x:c>
      <x:c r="C121" s="8" t="str">
        <x:v>la-naturaleza-de-las-cosas-invisibles</x:v>
      </x:c>
      <x:c r="D121" s="8" t="str">
        <x:v>matucana-100</x:v>
      </x:c>
      <x:c r="E121" s="9" t="n">
        <x:v>46249.5</x:v>
      </x:c>
      <x:c r="F121" s="10" t="n">
        <x:v>0.8333333333333334</x:v>
      </x:c>
      <x:c r="G121" s="11" t="n">
        <x:v>46250</x:v>
      </x:c>
      <x:c r="H121" s="8" t="str">
        <x:v>America/Santiago</x:v>
      </x:c>
      <x:c r="I121" s="8" t="str">
        <x:v>website</x:v>
      </x:c>
      <x:c r="J121" s="12" t="str">
        <x:v>https://www.m100.cl/programacion/cine/la-naturaleza-de-las-cosas-invisibles/</x:v>
      </x:c>
      <x:c r="K121" s="12" t="str">
        <x:v>https://www.m100.cl/programacion/cine/la-naturaleza-de-las-cosas-invisibles/#2026-08-15T20:00</x:v>
      </x:c>
      <x:c r="L121" s="13" t="n">
        <x:v>46245.63534995371</x:v>
      </x:c>
      <x:c r="M121" s="12" t="str">
        <x:v>la-naturaleza-de-las-cosas-invisibles:matucana-100:2026-08-16T00:00:00.000Z</x:v>
      </x:c>
      <x:c r="N121" s="8" t="str">
        <x:f>IF(E121&gt;='Resumen'!$B$8,"Próxima","Pasada")</x:f>
        <x:v>Próxima</x:v>
      </x:c>
    </x:row>
    <x:row r="122">
      <x:c r="A122" s="12" t="str">
        <x:v>La Naturaleza de las Cosas Invisibles</x:v>
      </x:c>
      <x:c r="B122" s="12" t="str">
        <x:v>Matucana 100</x:v>
      </x:c>
      <x:c r="C122" s="8" t="str">
        <x:v>la-naturaleza-de-las-cosas-invisibles</x:v>
      </x:c>
      <x:c r="D122" s="8" t="str">
        <x:v>matucana-100</x:v>
      </x:c>
      <x:c r="E122" s="9" t="n">
        <x:v>46250.5</x:v>
      </x:c>
      <x:c r="F122" s="10" t="n">
        <x:v>0.8333333333333334</x:v>
      </x:c>
      <x:c r="G122" s="11" t="n">
        <x:v>46251</x:v>
      </x:c>
      <x:c r="H122" s="8" t="str">
        <x:v>America/Santiago</x:v>
      </x:c>
      <x:c r="I122" s="8" t="str">
        <x:v>website</x:v>
      </x:c>
      <x:c r="J122" s="12" t="str">
        <x:v>https://www.m100.cl/programacion/cine/la-naturaleza-de-las-cosas-invisibles/</x:v>
      </x:c>
      <x:c r="K122" s="12" t="str">
        <x:v>https://www.m100.cl/programacion/cine/la-naturaleza-de-las-cosas-invisibles/#2026-08-16T20:00</x:v>
      </x:c>
      <x:c r="L122" s="13" t="n">
        <x:v>46245.63534995371</x:v>
      </x:c>
      <x:c r="M122" s="12" t="str">
        <x:v>la-naturaleza-de-las-cosas-invisibles:matucana-100:2026-08-17T00:00:00.000Z</x:v>
      </x:c>
      <x:c r="N122" s="8" t="str">
        <x:f>IF(E122&gt;='Resumen'!$B$8,"Próxima","Pasada")</x:f>
        <x:v>Próxima</x:v>
      </x:c>
    </x:row>
    <x:row r="123">
      <x:c r="A123" s="12" t="str">
        <x:v>La Naturaleza de las Cosas Invisibles</x:v>
      </x:c>
      <x:c r="B123" s="12" t="str">
        <x:v>Matucana 100</x:v>
      </x:c>
      <x:c r="C123" s="8" t="str">
        <x:v>la-naturaleza-de-las-cosas-invisibles</x:v>
      </x:c>
      <x:c r="D123" s="8" t="str">
        <x:v>matucana-100</x:v>
      </x:c>
      <x:c r="E123" s="9" t="n">
        <x:v>46253.5</x:v>
      </x:c>
      <x:c r="F123" s="10" t="n">
        <x:v>0.8333333333333334</x:v>
      </x:c>
      <x:c r="G123" s="11" t="n">
        <x:v>46254</x:v>
      </x:c>
      <x:c r="H123" s="8" t="str">
        <x:v>America/Santiago</x:v>
      </x:c>
      <x:c r="I123" s="8" t="str">
        <x:v>website</x:v>
      </x:c>
      <x:c r="J123" s="12" t="str">
        <x:v>https://www.m100.cl/programacion/cine/la-naturaleza-de-las-cosas-invisibles/</x:v>
      </x:c>
      <x:c r="K123" s="12" t="str">
        <x:v>https://www.m100.cl/programacion/cine/la-naturaleza-de-las-cosas-invisibles/#2026-08-19T20:00</x:v>
      </x:c>
      <x:c r="L123" s="13" t="n">
        <x:v>46245.63534995371</x:v>
      </x:c>
      <x:c r="M123" s="12" t="str">
        <x:v>la-naturaleza-de-las-cosas-invisibles:matucana-100:2026-08-20T00:00:00.000Z</x:v>
      </x:c>
      <x:c r="N123" s="8" t="str">
        <x:f>IF(E123&gt;='Resumen'!$B$8,"Próxima","Pasada")</x:f>
        <x:v>Próxima</x:v>
      </x:c>
    </x:row>
    <x:row r="124">
      <x:c r="A124" s="12" t="str">
        <x:v>La Naturaleza de las Cosas Invisibles</x:v>
      </x:c>
      <x:c r="B124" s="12" t="str">
        <x:v>Matucana 100</x:v>
      </x:c>
      <x:c r="C124" s="8" t="str">
        <x:v>la-naturaleza-de-las-cosas-invisibles</x:v>
      </x:c>
      <x:c r="D124" s="8" t="str">
        <x:v>matucana-100</x:v>
      </x:c>
      <x:c r="E124" s="9" t="n">
        <x:v>46254.5</x:v>
      </x:c>
      <x:c r="F124" s="10" t="n">
        <x:v>0.8333333333333334</x:v>
      </x:c>
      <x:c r="G124" s="11" t="n">
        <x:v>46255</x:v>
      </x:c>
      <x:c r="H124" s="8" t="str">
        <x:v>America/Santiago</x:v>
      </x:c>
      <x:c r="I124" s="8" t="str">
        <x:v>website</x:v>
      </x:c>
      <x:c r="J124" s="12" t="str">
        <x:v>https://www.m100.cl/programacion/cine/la-naturaleza-de-las-cosas-invisibles/</x:v>
      </x:c>
      <x:c r="K124" s="12" t="str">
        <x:v>https://www.m100.cl/programacion/cine/la-naturaleza-de-las-cosas-invisibles/#2026-08-20T20:00</x:v>
      </x:c>
      <x:c r="L124" s="13" t="n">
        <x:v>46245.63534995371</x:v>
      </x:c>
      <x:c r="M124" s="12" t="str">
        <x:v>la-naturaleza-de-las-cosas-invisibles:matucana-100:2026-08-21T00:00:00.000Z</x:v>
      </x:c>
      <x:c r="N124" s="8" t="str">
        <x:f>IF(E124&gt;='Resumen'!$B$8,"Próxima","Pasada")</x:f>
        <x:v>Próxima</x:v>
      </x:c>
    </x:row>
    <x:row r="125">
      <x:c r="A125" s="12" t="str">
        <x:v>La Naturaleza de las Cosas Invisibles</x:v>
      </x:c>
      <x:c r="B125" s="12" t="str">
        <x:v>Matucana 100</x:v>
      </x:c>
      <x:c r="C125" s="8" t="str">
        <x:v>la-naturaleza-de-las-cosas-invisibles</x:v>
      </x:c>
      <x:c r="D125" s="8" t="str">
        <x:v>matucana-100</x:v>
      </x:c>
      <x:c r="E125" s="9" t="n">
        <x:v>46255.5</x:v>
      </x:c>
      <x:c r="F125" s="10" t="n">
        <x:v>0.8333333333333334</x:v>
      </x:c>
      <x:c r="G125" s="11" t="n">
        <x:v>46256</x:v>
      </x:c>
      <x:c r="H125" s="8" t="str">
        <x:v>America/Santiago</x:v>
      </x:c>
      <x:c r="I125" s="8" t="str">
        <x:v>website</x:v>
      </x:c>
      <x:c r="J125" s="12" t="str">
        <x:v>https://www.m100.cl/programacion/cine/la-naturaleza-de-las-cosas-invisibles/</x:v>
      </x:c>
      <x:c r="K125" s="12" t="str">
        <x:v>https://www.m100.cl/programacion/cine/la-naturaleza-de-las-cosas-invisibles/#2026-08-21T20:00</x:v>
      </x:c>
      <x:c r="L125" s="13" t="n">
        <x:v>46245.63534995371</x:v>
      </x:c>
      <x:c r="M125" s="12" t="str">
        <x:v>la-naturaleza-de-las-cosas-invisibles:matucana-100:2026-08-22T00:00:00.000Z</x:v>
      </x:c>
      <x:c r="N125" s="8" t="str">
        <x:f>IF(E125&gt;='Resumen'!$B$8,"Próxima","Pasada")</x:f>
        <x:v>Próxima</x:v>
      </x:c>
    </x:row>
    <x:row r="126">
      <x:c r="A126" s="12" t="str">
        <x:v>La Naturaleza de las Cosas Invisibles</x:v>
      </x:c>
      <x:c r="B126" s="12" t="str">
        <x:v>Matucana 100</x:v>
      </x:c>
      <x:c r="C126" s="8" t="str">
        <x:v>la-naturaleza-de-las-cosas-invisibles</x:v>
      </x:c>
      <x:c r="D126" s="8" t="str">
        <x:v>matucana-100</x:v>
      </x:c>
      <x:c r="E126" s="9" t="n">
        <x:v>46256.5</x:v>
      </x:c>
      <x:c r="F126" s="10" t="n">
        <x:v>0.8333333333333334</x:v>
      </x:c>
      <x:c r="G126" s="11" t="n">
        <x:v>46257</x:v>
      </x:c>
      <x:c r="H126" s="8" t="str">
        <x:v>America/Santiago</x:v>
      </x:c>
      <x:c r="I126" s="8" t="str">
        <x:v>website</x:v>
      </x:c>
      <x:c r="J126" s="12" t="str">
        <x:v>https://www.m100.cl/programacion/cine/la-naturaleza-de-las-cosas-invisibles/</x:v>
      </x:c>
      <x:c r="K126" s="12" t="str">
        <x:v>https://www.m100.cl/programacion/cine/la-naturaleza-de-las-cosas-invisibles/#2026-08-22T20:00</x:v>
      </x:c>
      <x:c r="L126" s="13" t="n">
        <x:v>46245.63534995371</x:v>
      </x:c>
      <x:c r="M126" s="12" t="str">
        <x:v>la-naturaleza-de-las-cosas-invisibles:matucana-100:2026-08-23T00:00:00.000Z</x:v>
      </x:c>
      <x:c r="N126" s="8" t="str">
        <x:f>IF(E126&gt;='Resumen'!$B$8,"Próxima","Pasada")</x:f>
        <x:v>Próxima</x:v>
      </x:c>
    </x:row>
    <x:row r="127">
      <x:c r="A127" s="12" t="str">
        <x:v>La Naturaleza de las Cosas Invisibles</x:v>
      </x:c>
      <x:c r="B127" s="12" t="str">
        <x:v>Matucana 100</x:v>
      </x:c>
      <x:c r="C127" s="8" t="str">
        <x:v>la-naturaleza-de-las-cosas-invisibles</x:v>
      </x:c>
      <x:c r="D127" s="8" t="str">
        <x:v>matucana-100</x:v>
      </x:c>
      <x:c r="E127" s="9" t="n">
        <x:v>46257.5</x:v>
      </x:c>
      <x:c r="F127" s="10" t="n">
        <x:v>0.8333333333333334</x:v>
      </x:c>
      <x:c r="G127" s="11" t="n">
        <x:v>46258</x:v>
      </x:c>
      <x:c r="H127" s="8" t="str">
        <x:v>America/Santiago</x:v>
      </x:c>
      <x:c r="I127" s="8" t="str">
        <x:v>website</x:v>
      </x:c>
      <x:c r="J127" s="12" t="str">
        <x:v>https://www.m100.cl/programacion/cine/la-naturaleza-de-las-cosas-invisibles/</x:v>
      </x:c>
      <x:c r="K127" s="12" t="str">
        <x:v>https://www.m100.cl/programacion/cine/la-naturaleza-de-las-cosas-invisibles/#2026-08-23T20:00</x:v>
      </x:c>
      <x:c r="L127" s="13" t="n">
        <x:v>46245.63534995371</x:v>
      </x:c>
      <x:c r="M127" s="12" t="str">
        <x:v>la-naturaleza-de-las-cosas-invisibles:matucana-100:2026-08-24T00:00:00.000Z</x:v>
      </x:c>
      <x:c r="N127" s="8" t="str">
        <x:f>IF(E127&gt;='Resumen'!$B$8,"Próxima","Pasada")</x:f>
        <x:v>Próxima</x:v>
      </x:c>
    </x:row>
    <x:row r="128">
      <x:c r="A128" s="12" t="str">
        <x:v>La Naturaleza de las Cosas Invisibles</x:v>
      </x:c>
      <x:c r="B128" s="12" t="str">
        <x:v>Matucana 100</x:v>
      </x:c>
      <x:c r="C128" s="8" t="str">
        <x:v>la-naturaleza-de-las-cosas-invisibles</x:v>
      </x:c>
      <x:c r="D128" s="8" t="str">
        <x:v>matucana-100</x:v>
      </x:c>
      <x:c r="E128" s="9" t="n">
        <x:v>46260.5</x:v>
      </x:c>
      <x:c r="F128" s="10" t="n">
        <x:v>0.8333333333333334</x:v>
      </x:c>
      <x:c r="G128" s="11" t="n">
        <x:v>46261</x:v>
      </x:c>
      <x:c r="H128" s="8" t="str">
        <x:v>America/Santiago</x:v>
      </x:c>
      <x:c r="I128" s="8" t="str">
        <x:v>website</x:v>
      </x:c>
      <x:c r="J128" s="12" t="str">
        <x:v>https://www.m100.cl/programacion/cine/la-naturaleza-de-las-cosas-invisibles/</x:v>
      </x:c>
      <x:c r="K128" s="12" t="str">
        <x:v>https://www.m100.cl/programacion/cine/la-naturaleza-de-las-cosas-invisibles/#2026-08-26T20:00</x:v>
      </x:c>
      <x:c r="L128" s="13" t="n">
        <x:v>46245.63534995371</x:v>
      </x:c>
      <x:c r="M128" s="12" t="str">
        <x:v>la-naturaleza-de-las-cosas-invisibles:matucana-100:2026-08-27T00:00:00.000Z</x:v>
      </x:c>
      <x:c r="N128" s="8" t="str">
        <x:f>IF(E128&gt;='Resumen'!$B$8,"Próxima","Pasada")</x:f>
        <x:v>Próxima</x:v>
      </x:c>
    </x:row>
    <x:row r="129">
      <x:c r="A129" s="12" t="str">
        <x:v>La Naturaleza de las Cosas Invisibles</x:v>
      </x:c>
      <x:c r="B129" s="12" t="str">
        <x:v>Matucana 100</x:v>
      </x:c>
      <x:c r="C129" s="8" t="str">
        <x:v>la-naturaleza-de-las-cosas-invisibles</x:v>
      </x:c>
      <x:c r="D129" s="8" t="str">
        <x:v>matucana-100</x:v>
      </x:c>
      <x:c r="E129" s="9" t="n">
        <x:v>46261.5</x:v>
      </x:c>
      <x:c r="F129" s="10" t="n">
        <x:v>0.8333333333333334</x:v>
      </x:c>
      <x:c r="G129" s="11" t="n">
        <x:v>46262</x:v>
      </x:c>
      <x:c r="H129" s="8" t="str">
        <x:v>America/Santiago</x:v>
      </x:c>
      <x:c r="I129" s="8" t="str">
        <x:v>website</x:v>
      </x:c>
      <x:c r="J129" s="12" t="str">
        <x:v>https://www.m100.cl/programacion/cine/la-naturaleza-de-las-cosas-invisibles/</x:v>
      </x:c>
      <x:c r="K129" s="12" t="str">
        <x:v>https://www.m100.cl/programacion/cine/la-naturaleza-de-las-cosas-invisibles/#2026-08-27T20:00</x:v>
      </x:c>
      <x:c r="L129" s="13" t="n">
        <x:v>46245.63534995371</x:v>
      </x:c>
      <x:c r="M129" s="12" t="str">
        <x:v>la-naturaleza-de-las-cosas-invisibles:matucana-100:2026-08-28T00:00:00.000Z</x:v>
      </x:c>
      <x:c r="N129" s="8" t="str">
        <x:f>IF(E129&gt;='Resumen'!$B$8,"Próxima","Pasada")</x:f>
        <x:v>Próxima</x:v>
      </x:c>
    </x:row>
    <x:row r="130">
      <x:c r="A130" s="12" t="str">
        <x:v>La Naturaleza de las Cosas Invisibles</x:v>
      </x:c>
      <x:c r="B130" s="12" t="str">
        <x:v>Matucana 100</x:v>
      </x:c>
      <x:c r="C130" s="8" t="str">
        <x:v>la-naturaleza-de-las-cosas-invisibles</x:v>
      </x:c>
      <x:c r="D130" s="8" t="str">
        <x:v>matucana-100</x:v>
      </x:c>
      <x:c r="E130" s="9" t="n">
        <x:v>46262.5</x:v>
      </x:c>
      <x:c r="F130" s="10" t="n">
        <x:v>0.8333333333333334</x:v>
      </x:c>
      <x:c r="G130" s="11" t="n">
        <x:v>46263</x:v>
      </x:c>
      <x:c r="H130" s="8" t="str">
        <x:v>America/Santiago</x:v>
      </x:c>
      <x:c r="I130" s="8" t="str">
        <x:v>website</x:v>
      </x:c>
      <x:c r="J130" s="12" t="str">
        <x:v>https://www.m100.cl/programacion/cine/la-naturaleza-de-las-cosas-invisibles/</x:v>
      </x:c>
      <x:c r="K130" s="12" t="str">
        <x:v>https://www.m100.cl/programacion/cine/la-naturaleza-de-las-cosas-invisibles/#2026-08-28T20:00</x:v>
      </x:c>
      <x:c r="L130" s="13" t="n">
        <x:v>46245.63534995371</x:v>
      </x:c>
      <x:c r="M130" s="12" t="str">
        <x:v>la-naturaleza-de-las-cosas-invisibles:matucana-100:2026-08-29T00:00:00.000Z</x:v>
      </x:c>
      <x:c r="N130" s="8" t="str">
        <x:f>IF(E130&gt;='Resumen'!$B$8,"Próxima","Pasada")</x:f>
        <x:v>Próxima</x:v>
      </x:c>
    </x:row>
    <x:row r="131">
      <x:c r="A131" s="12" t="str">
        <x:v>La Naturaleza de las Cosas Invisibles</x:v>
      </x:c>
      <x:c r="B131" s="12" t="str">
        <x:v>Matucana 100</x:v>
      </x:c>
      <x:c r="C131" s="8" t="str">
        <x:v>la-naturaleza-de-las-cosas-invisibles</x:v>
      </x:c>
      <x:c r="D131" s="8" t="str">
        <x:v>matucana-100</x:v>
      </x:c>
      <x:c r="E131" s="9" t="n">
        <x:v>46263.5</x:v>
      </x:c>
      <x:c r="F131" s="10" t="n">
        <x:v>0.8333333333333334</x:v>
      </x:c>
      <x:c r="G131" s="11" t="n">
        <x:v>46264</x:v>
      </x:c>
      <x:c r="H131" s="8" t="str">
        <x:v>America/Santiago</x:v>
      </x:c>
      <x:c r="I131" s="8" t="str">
        <x:v>website</x:v>
      </x:c>
      <x:c r="J131" s="12" t="str">
        <x:v>https://www.m100.cl/programacion/cine/la-naturaleza-de-las-cosas-invisibles/</x:v>
      </x:c>
      <x:c r="K131" s="12" t="str">
        <x:v>https://www.m100.cl/programacion/cine/la-naturaleza-de-las-cosas-invisibles/#2026-08-29T20:00</x:v>
      </x:c>
      <x:c r="L131" s="13" t="n">
        <x:v>46245.63534995371</x:v>
      </x:c>
      <x:c r="M131" s="12" t="str">
        <x:v>la-naturaleza-de-las-cosas-invisibles:matucana-100:2026-08-30T00:00:00.000Z</x:v>
      </x:c>
      <x:c r="N131" s="8" t="str">
        <x:f>IF(E131&gt;='Resumen'!$B$8,"Próxima","Pasada")</x:f>
        <x:v>Próxima</x:v>
      </x:c>
    </x:row>
    <x:row r="132">
      <x:c r="A132" s="12" t="str">
        <x:v>La Naturaleza de las Cosas Invisibles</x:v>
      </x:c>
      <x:c r="B132" s="12" t="str">
        <x:v>Matucana 100</x:v>
      </x:c>
      <x:c r="C132" s="8" t="str">
        <x:v>la-naturaleza-de-las-cosas-invisibles</x:v>
      </x:c>
      <x:c r="D132" s="8" t="str">
        <x:v>matucana-100</x:v>
      </x:c>
      <x:c r="E132" s="9" t="n">
        <x:v>46264.5</x:v>
      </x:c>
      <x:c r="F132" s="10" t="n">
        <x:v>0.8333333333333334</x:v>
      </x:c>
      <x:c r="G132" s="11" t="n">
        <x:v>46265</x:v>
      </x:c>
      <x:c r="H132" s="8" t="str">
        <x:v>America/Santiago</x:v>
      </x:c>
      <x:c r="I132" s="8" t="str">
        <x:v>website</x:v>
      </x:c>
      <x:c r="J132" s="12" t="str">
        <x:v>https://www.m100.cl/programacion/cine/la-naturaleza-de-las-cosas-invisibles/</x:v>
      </x:c>
      <x:c r="K132" s="12" t="str">
        <x:v>https://www.m100.cl/programacion/cine/la-naturaleza-de-las-cosas-invisibles/#2026-08-30T20:00</x:v>
      </x:c>
      <x:c r="L132" s="13" t="n">
        <x:v>46245.63534995371</x:v>
      </x:c>
      <x:c r="M132" s="12" t="str">
        <x:v>la-naturaleza-de-las-cosas-invisibles:matucana-100:2026-08-31T00:00:00.000Z</x:v>
      </x:c>
      <x:c r="N132" s="8" t="str">
        <x:f>IF(E132&gt;='Resumen'!$B$8,"Próxima","Pasada")</x:f>
        <x:v>Próxima</x:v>
      </x:c>
    </x:row>
    <x:row r="133">
      <x:c r="A133" s="12" t="str">
        <x:v>El Gran Viaje</x:v>
      </x:c>
      <x:c r="B133" s="12" t="str">
        <x:v>Matucana 100</x:v>
      </x:c>
      <x:c r="C133" s="8" t="str">
        <x:v>el-gran-viaje</x:v>
      </x:c>
      <x:c r="D133" s="8" t="str">
        <x:v>matucana-100</x:v>
      </x:c>
      <x:c r="E133" s="9" t="n">
        <x:v>46232.5</x:v>
      </x:c>
      <x:c r="F133" s="10" t="n">
        <x:v>0.75</x:v>
      </x:c>
      <x:c r="G133" s="11" t="n">
        <x:v>46232.916666666664</x:v>
      </x:c>
      <x:c r="H133" s="8" t="str">
        <x:v>America/Santiago</x:v>
      </x:c>
      <x:c r="I133" s="8" t="str">
        <x:v>website</x:v>
      </x:c>
      <x:c r="J133" s="12" t="str">
        <x:v>https://www.m100.cl/programacion/cine/el-gran-viaje/</x:v>
      </x:c>
      <x:c r="K133" s="12" t="str">
        <x:v>https://www.m100.cl/programacion/cine/el-gran-viaje/#2026-07-29T18:00</x:v>
      </x:c>
      <x:c r="L133" s="13" t="n">
        <x:v>46245.63536627315</x:v>
      </x:c>
      <x:c r="M133" s="12" t="str">
        <x:v>el-gran-viaje:matucana-100:2026-07-29T22:00:00.000Z</x:v>
      </x:c>
      <x:c r="N133" s="8" t="str">
        <x:f>IF(E133&gt;='Resumen'!$B$8,"Próxima","Pasada")</x:f>
        <x:v>Pasada</x:v>
      </x:c>
    </x:row>
    <x:row r="134">
      <x:c r="A134" s="12" t="str">
        <x:v>El Gran Viaje</x:v>
      </x:c>
      <x:c r="B134" s="12" t="str">
        <x:v>Matucana 100</x:v>
      </x:c>
      <x:c r="C134" s="8" t="str">
        <x:v>el-gran-viaje</x:v>
      </x:c>
      <x:c r="D134" s="8" t="str">
        <x:v>matucana-100</x:v>
      </x:c>
      <x:c r="E134" s="9" t="n">
        <x:v>46233.5</x:v>
      </x:c>
      <x:c r="F134" s="10" t="n">
        <x:v>0.75</x:v>
      </x:c>
      <x:c r="G134" s="11" t="n">
        <x:v>46233.916666666664</x:v>
      </x:c>
      <x:c r="H134" s="8" t="str">
        <x:v>America/Santiago</x:v>
      </x:c>
      <x:c r="I134" s="8" t="str">
        <x:v>website</x:v>
      </x:c>
      <x:c r="J134" s="12" t="str">
        <x:v>https://www.m100.cl/programacion/cine/el-gran-viaje/</x:v>
      </x:c>
      <x:c r="K134" s="12" t="str">
        <x:v>https://www.m100.cl/programacion/cine/el-gran-viaje/#2026-07-30T18:00</x:v>
      </x:c>
      <x:c r="L134" s="13" t="n">
        <x:v>46245.63536627315</x:v>
      </x:c>
      <x:c r="M134" s="12" t="str">
        <x:v>el-gran-viaje:matucana-100:2026-07-30T22:00:00.000Z</x:v>
      </x:c>
      <x:c r="N134" s="8" t="str">
        <x:f>IF(E134&gt;='Resumen'!$B$8,"Próxima","Pasada")</x:f>
        <x:v>Pasada</x:v>
      </x:c>
    </x:row>
    <x:row r="135">
      <x:c r="A135" s="12" t="str">
        <x:v>El Gran Viaje</x:v>
      </x:c>
      <x:c r="B135" s="12" t="str">
        <x:v>Matucana 100</x:v>
      </x:c>
      <x:c r="C135" s="8" t="str">
        <x:v>el-gran-viaje</x:v>
      </x:c>
      <x:c r="D135" s="8" t="str">
        <x:v>matucana-100</x:v>
      </x:c>
      <x:c r="E135" s="9" t="n">
        <x:v>46234.5</x:v>
      </x:c>
      <x:c r="F135" s="10" t="n">
        <x:v>0.75</x:v>
      </x:c>
      <x:c r="G135" s="11" t="n">
        <x:v>46234.916666666664</x:v>
      </x:c>
      <x:c r="H135" s="8" t="str">
        <x:v>America/Santiago</x:v>
      </x:c>
      <x:c r="I135" s="8" t="str">
        <x:v>website</x:v>
      </x:c>
      <x:c r="J135" s="12" t="str">
        <x:v>https://www.m100.cl/programacion/cine/el-gran-viaje/</x:v>
      </x:c>
      <x:c r="K135" s="12" t="str">
        <x:v>https://www.m100.cl/programacion/cine/el-gran-viaje/#2026-07-31T18:00</x:v>
      </x:c>
      <x:c r="L135" s="13" t="n">
        <x:v>46245.63536627315</x:v>
      </x:c>
      <x:c r="M135" s="12" t="str">
        <x:v>el-gran-viaje:matucana-100:2026-07-31T22:00:00.000Z</x:v>
      </x:c>
      <x:c r="N135" s="8" t="str">
        <x:f>IF(E135&gt;='Resumen'!$B$8,"Próxima","Pasada")</x:f>
        <x:v>Pasada</x:v>
      </x:c>
    </x:row>
    <x:row r="136">
      <x:c r="A136" s="12" t="str">
        <x:v>El Gran Viaje</x:v>
      </x:c>
      <x:c r="B136" s="12" t="str">
        <x:v>Matucana 100</x:v>
      </x:c>
      <x:c r="C136" s="8" t="str">
        <x:v>el-gran-viaje</x:v>
      </x:c>
      <x:c r="D136" s="8" t="str">
        <x:v>matucana-100</x:v>
      </x:c>
      <x:c r="E136" s="9" t="n">
        <x:v>46235.5</x:v>
      </x:c>
      <x:c r="F136" s="10" t="n">
        <x:v>0.75</x:v>
      </x:c>
      <x:c r="G136" s="11" t="n">
        <x:v>46235.916666666664</x:v>
      </x:c>
      <x:c r="H136" s="8" t="str">
        <x:v>America/Santiago</x:v>
      </x:c>
      <x:c r="I136" s="8" t="str">
        <x:v>website</x:v>
      </x:c>
      <x:c r="J136" s="12" t="str">
        <x:v>https://www.m100.cl/programacion/cine/el-gran-viaje/</x:v>
      </x:c>
      <x:c r="K136" s="12" t="str">
        <x:v>https://www.m100.cl/programacion/cine/el-gran-viaje/#2026-08-01T18:00</x:v>
      </x:c>
      <x:c r="L136" s="13" t="n">
        <x:v>46245.63536627315</x:v>
      </x:c>
      <x:c r="M136" s="12" t="str">
        <x:v>el-gran-viaje:matucana-100:2026-08-01T22:00:00.000Z</x:v>
      </x:c>
      <x:c r="N136" s="8" t="str">
        <x:f>IF(E136&gt;='Resumen'!$B$8,"Próxima","Pasada")</x:f>
        <x:v>Pasada</x:v>
      </x:c>
    </x:row>
    <x:row r="137">
      <x:c r="A137" s="12" t="str">
        <x:v>El Gran Viaje</x:v>
      </x:c>
      <x:c r="B137" s="12" t="str">
        <x:v>Matucana 100</x:v>
      </x:c>
      <x:c r="C137" s="8" t="str">
        <x:v>el-gran-viaje</x:v>
      </x:c>
      <x:c r="D137" s="8" t="str">
        <x:v>matucana-100</x:v>
      </x:c>
      <x:c r="E137" s="9" t="n">
        <x:v>46236.5</x:v>
      </x:c>
      <x:c r="F137" s="10" t="n">
        <x:v>0.75</x:v>
      </x:c>
      <x:c r="G137" s="11" t="n">
        <x:v>46236.916666666664</x:v>
      </x:c>
      <x:c r="H137" s="8" t="str">
        <x:v>America/Santiago</x:v>
      </x:c>
      <x:c r="I137" s="8" t="str">
        <x:v>website</x:v>
      </x:c>
      <x:c r="J137" s="12" t="str">
        <x:v>https://www.m100.cl/programacion/cine/el-gran-viaje/</x:v>
      </x:c>
      <x:c r="K137" s="12" t="str">
        <x:v>https://www.m100.cl/programacion/cine/el-gran-viaje/#2026-08-02T18:00</x:v>
      </x:c>
      <x:c r="L137" s="13" t="n">
        <x:v>46245.63536627315</x:v>
      </x:c>
      <x:c r="M137" s="12" t="str">
        <x:v>el-gran-viaje:matucana-100:2026-08-02T22:00:00.000Z</x:v>
      </x:c>
      <x:c r="N137" s="8" t="str">
        <x:f>IF(E137&gt;='Resumen'!$B$8,"Próxima","Pasada")</x:f>
        <x:v>Pasada</x:v>
      </x:c>
    </x:row>
    <x:row r="138">
      <x:c r="A138" s="12" t="str">
        <x:v>El Gran Viaje</x:v>
      </x:c>
      <x:c r="B138" s="12" t="str">
        <x:v>Matucana 100</x:v>
      </x:c>
      <x:c r="C138" s="8" t="str">
        <x:v>el-gran-viaje</x:v>
      </x:c>
      <x:c r="D138" s="8" t="str">
        <x:v>matucana-100</x:v>
      </x:c>
      <x:c r="E138" s="9" t="n">
        <x:v>46239.5</x:v>
      </x:c>
      <x:c r="F138" s="10" t="n">
        <x:v>0.75</x:v>
      </x:c>
      <x:c r="G138" s="11" t="n">
        <x:v>46239.916666666664</x:v>
      </x:c>
      <x:c r="H138" s="8" t="str">
        <x:v>America/Santiago</x:v>
      </x:c>
      <x:c r="I138" s="8" t="str">
        <x:v>website</x:v>
      </x:c>
      <x:c r="J138" s="12" t="str">
        <x:v>https://www.m100.cl/programacion/cine/el-gran-viaje/</x:v>
      </x:c>
      <x:c r="K138" s="12" t="str">
        <x:v>https://www.m100.cl/programacion/cine/el-gran-viaje/#2026-08-05T18:00</x:v>
      </x:c>
      <x:c r="L138" s="13" t="n">
        <x:v>46245.63536627315</x:v>
      </x:c>
      <x:c r="M138" s="12" t="str">
        <x:v>el-gran-viaje:matucana-100:2026-08-05T22:00:00.000Z</x:v>
      </x:c>
      <x:c r="N138" s="8" t="str">
        <x:f>IF(E138&gt;='Resumen'!$B$8,"Próxima","Pasada")</x:f>
        <x:v>Pasada</x:v>
      </x:c>
    </x:row>
    <x:row r="139">
      <x:c r="A139" s="12" t="str">
        <x:v>El Gran Viaje</x:v>
      </x:c>
      <x:c r="B139" s="12" t="str">
        <x:v>Matucana 100</x:v>
      </x:c>
      <x:c r="C139" s="8" t="str">
        <x:v>el-gran-viaje</x:v>
      </x:c>
      <x:c r="D139" s="8" t="str">
        <x:v>matucana-100</x:v>
      </x:c>
      <x:c r="E139" s="9" t="n">
        <x:v>46240.5</x:v>
      </x:c>
      <x:c r="F139" s="10" t="n">
        <x:v>0.75</x:v>
      </x:c>
      <x:c r="G139" s="11" t="n">
        <x:v>46240.916666666664</x:v>
      </x:c>
      <x:c r="H139" s="8" t="str">
        <x:v>America/Santiago</x:v>
      </x:c>
      <x:c r="I139" s="8" t="str">
        <x:v>website</x:v>
      </x:c>
      <x:c r="J139" s="12" t="str">
        <x:v>https://www.m100.cl/programacion/cine/el-gran-viaje/</x:v>
      </x:c>
      <x:c r="K139" s="12" t="str">
        <x:v>https://www.m100.cl/programacion/cine/el-gran-viaje/#2026-08-06T18:00</x:v>
      </x:c>
      <x:c r="L139" s="13" t="n">
        <x:v>46245.63536627315</x:v>
      </x:c>
      <x:c r="M139" s="12" t="str">
        <x:v>el-gran-viaje:matucana-100:2026-08-06T22:00:00.000Z</x:v>
      </x:c>
      <x:c r="N139" s="8" t="str">
        <x:f>IF(E139&gt;='Resumen'!$B$8,"Próxima","Pasada")</x:f>
        <x:v>Pasada</x:v>
      </x:c>
    </x:row>
    <x:row r="140">
      <x:c r="A140" s="12" t="str">
        <x:v>El Gran Viaje</x:v>
      </x:c>
      <x:c r="B140" s="12" t="str">
        <x:v>Matucana 100</x:v>
      </x:c>
      <x:c r="C140" s="8" t="str">
        <x:v>el-gran-viaje</x:v>
      </x:c>
      <x:c r="D140" s="8" t="str">
        <x:v>matucana-100</x:v>
      </x:c>
      <x:c r="E140" s="9" t="n">
        <x:v>46241.5</x:v>
      </x:c>
      <x:c r="F140" s="10" t="n">
        <x:v>0.75</x:v>
      </x:c>
      <x:c r="G140" s="11" t="n">
        <x:v>46241.916666666664</x:v>
      </x:c>
      <x:c r="H140" s="8" t="str">
        <x:v>America/Santiago</x:v>
      </x:c>
      <x:c r="I140" s="8" t="str">
        <x:v>website</x:v>
      </x:c>
      <x:c r="J140" s="12" t="str">
        <x:v>https://www.m100.cl/programacion/cine/el-gran-viaje/</x:v>
      </x:c>
      <x:c r="K140" s="12" t="str">
        <x:v>https://www.m100.cl/programacion/cine/el-gran-viaje/#2026-08-07T18:00</x:v>
      </x:c>
      <x:c r="L140" s="13" t="n">
        <x:v>46245.63536627315</x:v>
      </x:c>
      <x:c r="M140" s="12" t="str">
        <x:v>el-gran-viaje:matucana-100:2026-08-07T22:00:00.000Z</x:v>
      </x:c>
      <x:c r="N140" s="8" t="str">
        <x:f>IF(E140&gt;='Resumen'!$B$8,"Próxima","Pasada")</x:f>
        <x:v>Pasada</x:v>
      </x:c>
    </x:row>
    <x:row r="141">
      <x:c r="A141" s="12" t="str">
        <x:v>El Gran Viaje</x:v>
      </x:c>
      <x:c r="B141" s="12" t="str">
        <x:v>Matucana 100</x:v>
      </x:c>
      <x:c r="C141" s="8" t="str">
        <x:v>el-gran-viaje</x:v>
      </x:c>
      <x:c r="D141" s="8" t="str">
        <x:v>matucana-100</x:v>
      </x:c>
      <x:c r="E141" s="9" t="n">
        <x:v>46242.5</x:v>
      </x:c>
      <x:c r="F141" s="10" t="n">
        <x:v>0.75</x:v>
      </x:c>
      <x:c r="G141" s="11" t="n">
        <x:v>46242.916666666664</x:v>
      </x:c>
      <x:c r="H141" s="8" t="str">
        <x:v>America/Santiago</x:v>
      </x:c>
      <x:c r="I141" s="8" t="str">
        <x:v>website</x:v>
      </x:c>
      <x:c r="J141" s="12" t="str">
        <x:v>https://www.m100.cl/programacion/cine/el-gran-viaje/</x:v>
      </x:c>
      <x:c r="K141" s="12" t="str">
        <x:v>https://www.m100.cl/programacion/cine/el-gran-viaje/#2026-08-08T18:00</x:v>
      </x:c>
      <x:c r="L141" s="13" t="n">
        <x:v>46245.63536627315</x:v>
      </x:c>
      <x:c r="M141" s="12" t="str">
        <x:v>el-gran-viaje:matucana-100:2026-08-08T22:00:00.000Z</x:v>
      </x:c>
      <x:c r="N141" s="8" t="str">
        <x:f>IF(E141&gt;='Resumen'!$B$8,"Próxima","Pasada")</x:f>
        <x:v>Pasada</x:v>
      </x:c>
    </x:row>
    <x:row r="142">
      <x:c r="A142" s="12" t="str">
        <x:v>El Gran Viaje</x:v>
      </x:c>
      <x:c r="B142" s="12" t="str">
        <x:v>Matucana 100</x:v>
      </x:c>
      <x:c r="C142" s="8" t="str">
        <x:v>el-gran-viaje</x:v>
      </x:c>
      <x:c r="D142" s="8" t="str">
        <x:v>matucana-100</x:v>
      </x:c>
      <x:c r="E142" s="9" t="n">
        <x:v>46243.5</x:v>
      </x:c>
      <x:c r="F142" s="10" t="n">
        <x:v>0.75</x:v>
      </x:c>
      <x:c r="G142" s="11" t="n">
        <x:v>46243.916666666664</x:v>
      </x:c>
      <x:c r="H142" s="8" t="str">
        <x:v>America/Santiago</x:v>
      </x:c>
      <x:c r="I142" s="8" t="str">
        <x:v>website</x:v>
      </x:c>
      <x:c r="J142" s="12" t="str">
        <x:v>https://www.m100.cl/programacion/cine/el-gran-viaje/</x:v>
      </x:c>
      <x:c r="K142" s="12" t="str">
        <x:v>https://www.m100.cl/programacion/cine/el-gran-viaje/#2026-08-09T18:00</x:v>
      </x:c>
      <x:c r="L142" s="13" t="n">
        <x:v>46245.63536627315</x:v>
      </x:c>
      <x:c r="M142" s="12" t="str">
        <x:v>el-gran-viaje:matucana-100:2026-08-09T22:00:00.000Z</x:v>
      </x:c>
      <x:c r="N142" s="8" t="str">
        <x:f>IF(E142&gt;='Resumen'!$B$8,"Próxima","Pasada")</x:f>
        <x:v>Pasada</x:v>
      </x:c>
    </x:row>
    <x:row r="143">
      <x:c r="A143" s="12" t="str">
        <x:v>El Gran Viaje</x:v>
      </x:c>
      <x:c r="B143" s="12" t="str">
        <x:v>Matucana 100</x:v>
      </x:c>
      <x:c r="C143" s="8" t="str">
        <x:v>el-gran-viaje</x:v>
      </x:c>
      <x:c r="D143" s="8" t="str">
        <x:v>matucana-100</x:v>
      </x:c>
      <x:c r="E143" s="9" t="n">
        <x:v>46246.5</x:v>
      </x:c>
      <x:c r="F143" s="10" t="n">
        <x:v>0.75</x:v>
      </x:c>
      <x:c r="G143" s="11" t="n">
        <x:v>46246.916666666664</x:v>
      </x:c>
      <x:c r="H143" s="8" t="str">
        <x:v>America/Santiago</x:v>
      </x:c>
      <x:c r="I143" s="8" t="str">
        <x:v>website</x:v>
      </x:c>
      <x:c r="J143" s="12" t="str">
        <x:v>https://www.m100.cl/programacion/cine/el-gran-viaje/</x:v>
      </x:c>
      <x:c r="K143" s="12" t="str">
        <x:v>https://www.m100.cl/programacion/cine/el-gran-viaje/#2026-08-12T18:00</x:v>
      </x:c>
      <x:c r="L143" s="13" t="n">
        <x:v>46245.63536627315</x:v>
      </x:c>
      <x:c r="M143" s="12" t="str">
        <x:v>el-gran-viaje:matucana-100:2026-08-12T22:00:00.000Z</x:v>
      </x:c>
      <x:c r="N143" s="8" t="str">
        <x:f>IF(E143&gt;='Resumen'!$B$8,"Próxima","Pasada")</x:f>
        <x:v>Próxima</x:v>
      </x:c>
    </x:row>
    <x:row r="144">
      <x:c r="A144" s="12" t="str">
        <x:v>El Gran Viaje</x:v>
      </x:c>
      <x:c r="B144" s="12" t="str">
        <x:v>Matucana 100</x:v>
      </x:c>
      <x:c r="C144" s="8" t="str">
        <x:v>el-gran-viaje</x:v>
      </x:c>
      <x:c r="D144" s="8" t="str">
        <x:v>matucana-100</x:v>
      </x:c>
      <x:c r="E144" s="9" t="n">
        <x:v>46247.5</x:v>
      </x:c>
      <x:c r="F144" s="10" t="n">
        <x:v>0.75</x:v>
      </x:c>
      <x:c r="G144" s="11" t="n">
        <x:v>46247.916666666664</x:v>
      </x:c>
      <x:c r="H144" s="8" t="str">
        <x:v>America/Santiago</x:v>
      </x:c>
      <x:c r="I144" s="8" t="str">
        <x:v>website</x:v>
      </x:c>
      <x:c r="J144" s="12" t="str">
        <x:v>https://www.m100.cl/programacion/cine/el-gran-viaje/</x:v>
      </x:c>
      <x:c r="K144" s="12" t="str">
        <x:v>https://www.m100.cl/programacion/cine/el-gran-viaje/#2026-08-13T18:00</x:v>
      </x:c>
      <x:c r="L144" s="13" t="n">
        <x:v>46245.63536627315</x:v>
      </x:c>
      <x:c r="M144" s="12" t="str">
        <x:v>el-gran-viaje:matucana-100:2026-08-13T22:00:00.000Z</x:v>
      </x:c>
      <x:c r="N144" s="8" t="str">
        <x:f>IF(E144&gt;='Resumen'!$B$8,"Próxima","Pasada")</x:f>
        <x:v>Próxima</x:v>
      </x:c>
    </x:row>
    <x:row r="145">
      <x:c r="A145" s="12" t="str">
        <x:v>El Gran Viaje</x:v>
      </x:c>
      <x:c r="B145" s="12" t="str">
        <x:v>Matucana 100</x:v>
      </x:c>
      <x:c r="C145" s="8" t="str">
        <x:v>el-gran-viaje</x:v>
      </x:c>
      <x:c r="D145" s="8" t="str">
        <x:v>matucana-100</x:v>
      </x:c>
      <x:c r="E145" s="9" t="n">
        <x:v>46248.5</x:v>
      </x:c>
      <x:c r="F145" s="10" t="n">
        <x:v>0.75</x:v>
      </x:c>
      <x:c r="G145" s="11" t="n">
        <x:v>46248.916666666664</x:v>
      </x:c>
      <x:c r="H145" s="8" t="str">
        <x:v>America/Santiago</x:v>
      </x:c>
      <x:c r="I145" s="8" t="str">
        <x:v>website</x:v>
      </x:c>
      <x:c r="J145" s="12" t="str">
        <x:v>https://www.m100.cl/programacion/cine/el-gran-viaje/</x:v>
      </x:c>
      <x:c r="K145" s="12" t="str">
        <x:v>https://www.m100.cl/programacion/cine/el-gran-viaje/#2026-08-14T18:00</x:v>
      </x:c>
      <x:c r="L145" s="13" t="n">
        <x:v>46245.63536627315</x:v>
      </x:c>
      <x:c r="M145" s="12" t="str">
        <x:v>el-gran-viaje:matucana-100:2026-08-14T22:00:00.000Z</x:v>
      </x:c>
      <x:c r="N145" s="8" t="str">
        <x:f>IF(E145&gt;='Resumen'!$B$8,"Próxima","Pasada")</x:f>
        <x:v>Próxima</x:v>
      </x:c>
    </x:row>
    <x:row r="146">
      <x:c r="A146" s="12" t="str">
        <x:v>El Gran Viaje</x:v>
      </x:c>
      <x:c r="B146" s="12" t="str">
        <x:v>Matucana 100</x:v>
      </x:c>
      <x:c r="C146" s="8" t="str">
        <x:v>el-gran-viaje</x:v>
      </x:c>
      <x:c r="D146" s="8" t="str">
        <x:v>matucana-100</x:v>
      </x:c>
      <x:c r="E146" s="9" t="n">
        <x:v>46249.5</x:v>
      </x:c>
      <x:c r="F146" s="10" t="n">
        <x:v>0.75</x:v>
      </x:c>
      <x:c r="G146" s="11" t="n">
        <x:v>46249.916666666664</x:v>
      </x:c>
      <x:c r="H146" s="8" t="str">
        <x:v>America/Santiago</x:v>
      </x:c>
      <x:c r="I146" s="8" t="str">
        <x:v>website</x:v>
      </x:c>
      <x:c r="J146" s="12" t="str">
        <x:v>https://www.m100.cl/programacion/cine/el-gran-viaje/</x:v>
      </x:c>
      <x:c r="K146" s="12" t="str">
        <x:v>https://www.m100.cl/programacion/cine/el-gran-viaje/#2026-08-15T18:00</x:v>
      </x:c>
      <x:c r="L146" s="13" t="n">
        <x:v>46245.63536627315</x:v>
      </x:c>
      <x:c r="M146" s="12" t="str">
        <x:v>el-gran-viaje:matucana-100:2026-08-15T22:00:00.000Z</x:v>
      </x:c>
      <x:c r="N146" s="8" t="str">
        <x:f>IF(E146&gt;='Resumen'!$B$8,"Próxima","Pasada")</x:f>
        <x:v>Próxima</x:v>
      </x:c>
    </x:row>
    <x:row r="147">
      <x:c r="A147" s="12" t="str">
        <x:v>El Gran Viaje</x:v>
      </x:c>
      <x:c r="B147" s="12" t="str">
        <x:v>Matucana 100</x:v>
      </x:c>
      <x:c r="C147" s="8" t="str">
        <x:v>el-gran-viaje</x:v>
      </x:c>
      <x:c r="D147" s="8" t="str">
        <x:v>matucana-100</x:v>
      </x:c>
      <x:c r="E147" s="9" t="n">
        <x:v>46250.5</x:v>
      </x:c>
      <x:c r="F147" s="10" t="n">
        <x:v>0.75</x:v>
      </x:c>
      <x:c r="G147" s="11" t="n">
        <x:v>46250.916666666664</x:v>
      </x:c>
      <x:c r="H147" s="8" t="str">
        <x:v>America/Santiago</x:v>
      </x:c>
      <x:c r="I147" s="8" t="str">
        <x:v>website</x:v>
      </x:c>
      <x:c r="J147" s="12" t="str">
        <x:v>https://www.m100.cl/programacion/cine/el-gran-viaje/</x:v>
      </x:c>
      <x:c r="K147" s="12" t="str">
        <x:v>https://www.m100.cl/programacion/cine/el-gran-viaje/#2026-08-16T18:00</x:v>
      </x:c>
      <x:c r="L147" s="13" t="n">
        <x:v>46245.63536627315</x:v>
      </x:c>
      <x:c r="M147" s="12" t="str">
        <x:v>el-gran-viaje:matucana-100:2026-08-16T22:00:00.000Z</x:v>
      </x:c>
      <x:c r="N147" s="8" t="str">
        <x:f>IF(E147&gt;='Resumen'!$B$8,"Próxima","Pasada")</x:f>
        <x:v>Próxima</x:v>
      </x:c>
    </x:row>
    <x:row r="148">
      <x:c r="A148" s="12" t="str">
        <x:v>El Gran Viaje</x:v>
      </x:c>
      <x:c r="B148" s="12" t="str">
        <x:v>Matucana 100</x:v>
      </x:c>
      <x:c r="C148" s="8" t="str">
        <x:v>el-gran-viaje</x:v>
      </x:c>
      <x:c r="D148" s="8" t="str">
        <x:v>matucana-100</x:v>
      </x:c>
      <x:c r="E148" s="9" t="n">
        <x:v>46253.5</x:v>
      </x:c>
      <x:c r="F148" s="10" t="n">
        <x:v>0.75</x:v>
      </x:c>
      <x:c r="G148" s="11" t="n">
        <x:v>46253.916666666664</x:v>
      </x:c>
      <x:c r="H148" s="8" t="str">
        <x:v>America/Santiago</x:v>
      </x:c>
      <x:c r="I148" s="8" t="str">
        <x:v>website</x:v>
      </x:c>
      <x:c r="J148" s="12" t="str">
        <x:v>https://www.m100.cl/programacion/cine/el-gran-viaje/</x:v>
      </x:c>
      <x:c r="K148" s="12" t="str">
        <x:v>https://www.m100.cl/programacion/cine/el-gran-viaje/#2026-08-19T18:00</x:v>
      </x:c>
      <x:c r="L148" s="13" t="n">
        <x:v>46245.63536627315</x:v>
      </x:c>
      <x:c r="M148" s="12" t="str">
        <x:v>el-gran-viaje:matucana-100:2026-08-19T22:00:00.000Z</x:v>
      </x:c>
      <x:c r="N148" s="8" t="str">
        <x:f>IF(E148&gt;='Resumen'!$B$8,"Próxima","Pasada")</x:f>
        <x:v>Próxima</x:v>
      </x:c>
    </x:row>
    <x:row r="149">
      <x:c r="A149" s="12" t="str">
        <x:v>El Gran Viaje</x:v>
      </x:c>
      <x:c r="B149" s="12" t="str">
        <x:v>Matucana 100</x:v>
      </x:c>
      <x:c r="C149" s="8" t="str">
        <x:v>el-gran-viaje</x:v>
      </x:c>
      <x:c r="D149" s="8" t="str">
        <x:v>matucana-100</x:v>
      </x:c>
      <x:c r="E149" s="9" t="n">
        <x:v>46254.5</x:v>
      </x:c>
      <x:c r="F149" s="10" t="n">
        <x:v>0.75</x:v>
      </x:c>
      <x:c r="G149" s="11" t="n">
        <x:v>46254.916666666664</x:v>
      </x:c>
      <x:c r="H149" s="8" t="str">
        <x:v>America/Santiago</x:v>
      </x:c>
      <x:c r="I149" s="8" t="str">
        <x:v>website</x:v>
      </x:c>
      <x:c r="J149" s="12" t="str">
        <x:v>https://www.m100.cl/programacion/cine/el-gran-viaje/</x:v>
      </x:c>
      <x:c r="K149" s="12" t="str">
        <x:v>https://www.m100.cl/programacion/cine/el-gran-viaje/#2026-08-20T18:00</x:v>
      </x:c>
      <x:c r="L149" s="13" t="n">
        <x:v>46245.63536627315</x:v>
      </x:c>
      <x:c r="M149" s="12" t="str">
        <x:v>el-gran-viaje:matucana-100:2026-08-20T22:00:00.000Z</x:v>
      </x:c>
      <x:c r="N149" s="8" t="str">
        <x:f>IF(E149&gt;='Resumen'!$B$8,"Próxima","Pasada")</x:f>
        <x:v>Próxima</x:v>
      </x:c>
    </x:row>
    <x:row r="150">
      <x:c r="A150" s="12" t="str">
        <x:v>El Gran Viaje</x:v>
      </x:c>
      <x:c r="B150" s="12" t="str">
        <x:v>Matucana 100</x:v>
      </x:c>
      <x:c r="C150" s="8" t="str">
        <x:v>el-gran-viaje</x:v>
      </x:c>
      <x:c r="D150" s="8" t="str">
        <x:v>matucana-100</x:v>
      </x:c>
      <x:c r="E150" s="9" t="n">
        <x:v>46255.5</x:v>
      </x:c>
      <x:c r="F150" s="10" t="n">
        <x:v>0.75</x:v>
      </x:c>
      <x:c r="G150" s="11" t="n">
        <x:v>46255.916666666664</x:v>
      </x:c>
      <x:c r="H150" s="8" t="str">
        <x:v>America/Santiago</x:v>
      </x:c>
      <x:c r="I150" s="8" t="str">
        <x:v>website</x:v>
      </x:c>
      <x:c r="J150" s="12" t="str">
        <x:v>https://www.m100.cl/programacion/cine/el-gran-viaje/</x:v>
      </x:c>
      <x:c r="K150" s="12" t="str">
        <x:v>https://www.m100.cl/programacion/cine/el-gran-viaje/#2026-08-21T18:00</x:v>
      </x:c>
      <x:c r="L150" s="13" t="n">
        <x:v>46245.63536627315</x:v>
      </x:c>
      <x:c r="M150" s="12" t="str">
        <x:v>el-gran-viaje:matucana-100:2026-08-21T22:00:00.000Z</x:v>
      </x:c>
      <x:c r="N150" s="8" t="str">
        <x:f>IF(E150&gt;='Resumen'!$B$8,"Próxima","Pasada")</x:f>
        <x:v>Próxima</x:v>
      </x:c>
    </x:row>
    <x:row r="151">
      <x:c r="A151" s="12" t="str">
        <x:v>El Gran Viaje</x:v>
      </x:c>
      <x:c r="B151" s="12" t="str">
        <x:v>Matucana 100</x:v>
      </x:c>
      <x:c r="C151" s="8" t="str">
        <x:v>el-gran-viaje</x:v>
      </x:c>
      <x:c r="D151" s="8" t="str">
        <x:v>matucana-100</x:v>
      </x:c>
      <x:c r="E151" s="9" t="n">
        <x:v>46256.5</x:v>
      </x:c>
      <x:c r="F151" s="10" t="n">
        <x:v>0.75</x:v>
      </x:c>
      <x:c r="G151" s="11" t="n">
        <x:v>46256.916666666664</x:v>
      </x:c>
      <x:c r="H151" s="8" t="str">
        <x:v>America/Santiago</x:v>
      </x:c>
      <x:c r="I151" s="8" t="str">
        <x:v>website</x:v>
      </x:c>
      <x:c r="J151" s="12" t="str">
        <x:v>https://www.m100.cl/programacion/cine/el-gran-viaje/</x:v>
      </x:c>
      <x:c r="K151" s="12" t="str">
        <x:v>https://www.m100.cl/programacion/cine/el-gran-viaje/#2026-08-22T18:00</x:v>
      </x:c>
      <x:c r="L151" s="13" t="n">
        <x:v>46245.63536627315</x:v>
      </x:c>
      <x:c r="M151" s="12" t="str">
        <x:v>el-gran-viaje:matucana-100:2026-08-22T22:00:00.000Z</x:v>
      </x:c>
      <x:c r="N151" s="8" t="str">
        <x:f>IF(E151&gt;='Resumen'!$B$8,"Próxima","Pasada")</x:f>
        <x:v>Próxima</x:v>
      </x:c>
    </x:row>
    <x:row r="152">
      <x:c r="A152" s="12" t="str">
        <x:v>El Gran Viaje</x:v>
      </x:c>
      <x:c r="B152" s="12" t="str">
        <x:v>Matucana 100</x:v>
      </x:c>
      <x:c r="C152" s="8" t="str">
        <x:v>el-gran-viaje</x:v>
      </x:c>
      <x:c r="D152" s="8" t="str">
        <x:v>matucana-100</x:v>
      </x:c>
      <x:c r="E152" s="9" t="n">
        <x:v>46257.5</x:v>
      </x:c>
      <x:c r="F152" s="10" t="n">
        <x:v>0.75</x:v>
      </x:c>
      <x:c r="G152" s="11" t="n">
        <x:v>46257.916666666664</x:v>
      </x:c>
      <x:c r="H152" s="8" t="str">
        <x:v>America/Santiago</x:v>
      </x:c>
      <x:c r="I152" s="8" t="str">
        <x:v>website</x:v>
      </x:c>
      <x:c r="J152" s="12" t="str">
        <x:v>https://www.m100.cl/programacion/cine/el-gran-viaje/</x:v>
      </x:c>
      <x:c r="K152" s="12" t="str">
        <x:v>https://www.m100.cl/programacion/cine/el-gran-viaje/#2026-08-23T18:00</x:v>
      </x:c>
      <x:c r="L152" s="13" t="n">
        <x:v>46245.63536627315</x:v>
      </x:c>
      <x:c r="M152" s="12" t="str">
        <x:v>el-gran-viaje:matucana-100:2026-08-23T22:00:00.000Z</x:v>
      </x:c>
      <x:c r="N152" s="8" t="str">
        <x:f>IF(E152&gt;='Resumen'!$B$8,"Próxima","Pasada")</x:f>
        <x:v>Próxima</x:v>
      </x:c>
    </x:row>
    <x:row r="153">
      <x:c r="A153" s="12" t="str">
        <x:v>Butterfly + The crossing</x:v>
      </x:c>
      <x:c r="B153" s="12" t="str">
        <x:v>Sala Alicia Vega</x:v>
      </x:c>
      <x:c r="C153" s="8" t="str">
        <x:v>butterfly-the-crossing</x:v>
      </x:c>
      <x:c r="D153" s="8" t="str">
        <x:v>sala-alicia-vega</x:v>
      </x:c>
      <x:c r="E153" s="9" t="n">
        <x:v>46245.5</x:v>
      </x:c>
      <x:c r="F153" s="10" t="n">
        <x:v>0.5416666666666666</x:v>
      </x:c>
      <x:c r="G153" s="11" t="n">
        <x:v>46245.708333333336</x:v>
      </x:c>
      <x:c r="H153" s="8" t="str">
        <x:v>America/Santiago</x:v>
      </x:c>
      <x:c r="I153" s="8" t="str">
        <x:v>website</x:v>
      </x:c>
      <x:c r="J153" s="12" t="str">
        <x:v>https://cinetecanacional.gob.cl/eventos/butterfly-the-crossing/</x:v>
      </x:c>
      <x:c r="K153" s="12" t="str">
        <x:v>https://cinetecanacional.gob.cl/eventos/butterfly-the-crossing/#2026-08-11T13:00:00-04:00</x:v>
      </x:c>
      <x:c r="L153" s="13" t="n">
        <x:v>46245.63541221065</x:v>
      </x:c>
      <x:c r="M153" s="12" t="str">
        <x:v>butterfly-the-crossing:sala-alicia-vega:2026-08-11T17:00:00.000Z</x:v>
      </x:c>
      <x:c r="N153" s="8" t="str">
        <x:f>IF(E153&gt;='Resumen'!$B$8,"Próxima","Pasada")</x:f>
        <x:v>Próxima</x:v>
      </x:c>
    </x:row>
    <x:row r="154">
      <x:c r="A154" s="12" t="str">
        <x:v>Tres tristes tigres</x:v>
      </x:c>
      <x:c r="B154" s="12" t="str">
        <x:v>Cineteca Nacional de Chile</x:v>
      </x:c>
      <x:c r="C154" s="8" t="str">
        <x:v>tres-tristes-tigres</x:v>
      </x:c>
      <x:c r="D154" s="8" t="str">
        <x:v>cineteca-nacional-de-chile</x:v>
      </x:c>
      <x:c r="E154" s="9" t="n">
        <x:v>46245.5</x:v>
      </x:c>
      <x:c r="F154" s="10" t="n">
        <x:v>0.625</x:v>
      </x:c>
      <x:c r="G154" s="11" t="n">
        <x:v>46245.791666666664</x:v>
      </x:c>
      <x:c r="H154" s="8" t="str">
        <x:v>America/Santiago</x:v>
      </x:c>
      <x:c r="I154" s="8" t="str">
        <x:v>website</x:v>
      </x:c>
      <x:c r="J154" s="12" t="str">
        <x:v>https://cinetecanacional.gob.cl/eventos/tres-tristes-tigres/</x:v>
      </x:c>
      <x:c r="K154" s="12" t="str">
        <x:v>https://cinetecanacional.gob.cl/eventos/tres-tristes-tigres/#2026-08-11T15:00:00-04:00</x:v>
      </x:c>
      <x:c r="L154" s="13" t="n">
        <x:v>46245.63541221065</x:v>
      </x:c>
      <x:c r="M154" s="12" t="str">
        <x:v>tres-tristes-tigres:cineteca-nacional-de-chile:2026-08-11T19:00:00.000Z</x:v>
      </x:c>
      <x:c r="N154" s="8" t="str">
        <x:f>IF(E154&gt;='Resumen'!$B$8,"Próxima","Pasada")</x:f>
        <x:v>Próxima</x:v>
      </x:c>
    </x:row>
    <x:row r="155">
      <x:c r="A155" s="12" t="str">
        <x:v>Calamity</x:v>
      </x:c>
      <x:c r="B155" s="12" t="str">
        <x:v>Sala Alicia Vega</x:v>
      </x:c>
      <x:c r="C155" s="8" t="str">
        <x:v>calamity</x:v>
      </x:c>
      <x:c r="D155" s="8" t="str">
        <x:v>sala-alicia-vega</x:v>
      </x:c>
      <x:c r="E155" s="9" t="n">
        <x:v>46246.5</x:v>
      </x:c>
      <x:c r="F155" s="10" t="n">
        <x:v>0.5416666666666666</x:v>
      </x:c>
      <x:c r="G155" s="11" t="n">
        <x:v>46246.708333333336</x:v>
      </x:c>
      <x:c r="H155" s="8" t="str">
        <x:v>America/Santiago</x:v>
      </x:c>
      <x:c r="I155" s="8" t="str">
        <x:v>website</x:v>
      </x:c>
      <x:c r="J155" s="12" t="str">
        <x:v>https://cinetecanacional.gob.cl/eventos/calamity/</x:v>
      </x:c>
      <x:c r="K155" s="12" t="str">
        <x:v>https://cinetecanacional.gob.cl/eventos/calamity/#2026-08-12T13:00:00-04:00</x:v>
      </x:c>
      <x:c r="L155" s="13" t="n">
        <x:v>46245.63541221065</x:v>
      </x:c>
      <x:c r="M155" s="12" t="str">
        <x:v>calamity:sala-alicia-vega:2026-08-12T17:00:00.000Z</x:v>
      </x:c>
      <x:c r="N155" s="8" t="str">
        <x:f>IF(E155&gt;='Resumen'!$B$8,"Próxima","Pasada")</x:f>
        <x:v>Próxima</x:v>
      </x:c>
    </x:row>
    <x:row r="156">
      <x:c r="A156" s="12" t="str">
        <x:v>Una sombra oscilante</x:v>
      </x:c>
      <x:c r="B156" s="12" t="str">
        <x:v>Sala de cine</x:v>
      </x:c>
      <x:c r="C156" s="8" t="str">
        <x:v>una-sombra-oscilante</x:v>
      </x:c>
      <x:c r="D156" s="8" t="str">
        <x:v>sala-de-cine</x:v>
      </x:c>
      <x:c r="E156" s="9" t="n">
        <x:v>46231.5</x:v>
      </x:c>
      <x:c r="F156" s="10" t="n">
        <x:v>0.5833333333333334</x:v>
      </x:c>
      <x:c r="G156" s="11" t="n">
        <x:v>46231.75</x:v>
      </x:c>
      <x:c r="H156" s="8" t="str">
        <x:v>America/Santiago</x:v>
      </x:c>
      <x:c r="I156" s="8" t="str">
        <x:v>website</x:v>
      </x:c>
      <x:c r="J156" s="12" t="str">
        <x:v>https://cinetecanacional.gob.cl/eventos/una-sombra-oscilante/</x:v>
      </x:c>
      <x:c r="K156" s="12" t="str">
        <x:v>https://cinetecanacional.gob.cl/eventos/una-sombra-oscilante/#2026-07-28T14:00:00-04:00</x:v>
      </x:c>
      <x:c r="L156" s="13" t="n">
        <x:v>46245.63541221065</x:v>
      </x:c>
      <x:c r="M156" s="12" t="str">
        <x:v>una-sombra-oscilante:sala-de-cine:2026-07-28T18:00:00.000Z</x:v>
      </x:c>
      <x:c r="N156" s="8" t="str">
        <x:f>IF(E156&gt;='Resumen'!$B$8,"Próxima","Pasada")</x:f>
        <x:v>Pasada</x:v>
      </x:c>
    </x:row>
    <x:row r="157">
      <x:c r="A157" s="12" t="str">
        <x:v>Brujería</x:v>
      </x:c>
      <x:c r="B157" s="12" t="str">
        <x:v>Sala Alicia Vega</x:v>
      </x:c>
      <x:c r="C157" s="8" t="str">
        <x:v>brujeria</x:v>
      </x:c>
      <x:c r="D157" s="8" t="str">
        <x:v>sala-alicia-vega</x:v>
      </x:c>
      <x:c r="E157" s="9" t="n">
        <x:v>46231.5</x:v>
      </x:c>
      <x:c r="F157" s="10" t="n">
        <x:v>0.625</x:v>
      </x:c>
      <x:c r="G157" s="11" t="n">
        <x:v>46231.791666666664</x:v>
      </x:c>
      <x:c r="H157" s="8" t="str">
        <x:v>America/Santiago</x:v>
      </x:c>
      <x:c r="I157" s="8" t="str">
        <x:v>website</x:v>
      </x:c>
      <x:c r="J157" s="12" t="str">
        <x:v>https://cinetecanacional.gob.cl/eventos/brujeria/</x:v>
      </x:c>
      <x:c r="K157" s="12" t="str">
        <x:v>https://cinetecanacional.gob.cl/eventos/brujeria/#2026-07-28T15:00:00-04:00</x:v>
      </x:c>
      <x:c r="L157" s="13" t="n">
        <x:v>46245.63541221065</x:v>
      </x:c>
      <x:c r="M157" s="12" t="str">
        <x:v>brujeria:sala-alicia-vega:2026-07-28T19:00:00.000Z</x:v>
      </x:c>
      <x:c r="N157" s="8" t="str">
        <x:f>IF(E157&gt;='Resumen'!$B$8,"Próxima","Pasada")</x:f>
        <x:v>Pasada</x:v>
      </x:c>
    </x:row>
    <x:row r="158">
      <x:c r="A158" s="12" t="str">
        <x:v>Los renacidos</x:v>
      </x:c>
      <x:c r="B158" s="12" t="str">
        <x:v>Sala de cine</x:v>
      </x:c>
      <x:c r="C158" s="8" t="str">
        <x:v>los-renacidos</x:v>
      </x:c>
      <x:c r="D158" s="8" t="str">
        <x:v>sala-de-cine</x:v>
      </x:c>
      <x:c r="E158" s="9" t="n">
        <x:v>46231.5</x:v>
      </x:c>
      <x:c r="F158" s="10" t="n">
        <x:v>0.6666666666666666</x:v>
      </x:c>
      <x:c r="G158" s="11" t="n">
        <x:v>46231.833333333336</x:v>
      </x:c>
      <x:c r="H158" s="8" t="str">
        <x:v>America/Santiago</x:v>
      </x:c>
      <x:c r="I158" s="8" t="str">
        <x:v>website</x:v>
      </x:c>
      <x:c r="J158" s="12" t="str">
        <x:v>https://cinetecanacional.gob.cl/eventos/los-renacidos/</x:v>
      </x:c>
      <x:c r="K158" s="12" t="str">
        <x:v>https://cinetecanacional.gob.cl/eventos/los-renacidos/#2026-07-28T16:00:00-04:00</x:v>
      </x:c>
      <x:c r="L158" s="13" t="n">
        <x:v>46245.63541221065</x:v>
      </x:c>
      <x:c r="M158" s="12" t="str">
        <x:v>los-renacidos:sala-de-cine:2026-07-28T20:00:00.000Z</x:v>
      </x:c>
      <x:c r="N158" s="8" t="str">
        <x:f>IF(E158&gt;='Resumen'!$B$8,"Próxima","Pasada")</x:f>
        <x:v>Pasada</x:v>
      </x:c>
    </x:row>
    <x:row r="159">
      <x:c r="A159" s="12" t="str">
        <x:v>Amora</x:v>
      </x:c>
      <x:c r="B159" s="12" t="str">
        <x:v>Sala de cine</x:v>
      </x:c>
      <x:c r="C159" s="8" t="str">
        <x:v>amora</x:v>
      </x:c>
      <x:c r="D159" s="8" t="str">
        <x:v>sala-de-cine</x:v>
      </x:c>
      <x:c r="E159" s="9" t="n">
        <x:v>46232.5</x:v>
      </x:c>
      <x:c r="F159" s="10" t="n">
        <x:v>0.5833333333333334</x:v>
      </x:c>
      <x:c r="G159" s="11" t="n">
        <x:v>46232.75</x:v>
      </x:c>
      <x:c r="H159" s="8" t="str">
        <x:v>America/Santiago</x:v>
      </x:c>
      <x:c r="I159" s="8" t="str">
        <x:v>website</x:v>
      </x:c>
      <x:c r="J159" s="12" t="str">
        <x:v>https://cinetecanacional.gob.cl/eventos/amora/</x:v>
      </x:c>
      <x:c r="K159" s="12" t="str">
        <x:v>https://cinetecanacional.gob.cl/eventos/amora/#2026-07-29T14:00:00-04:00</x:v>
      </x:c>
      <x:c r="L159" s="13" t="n">
        <x:v>46245.63541221065</x:v>
      </x:c>
      <x:c r="M159" s="12" t="str">
        <x:v>amora:sala-de-cine:2026-07-29T18:00:00.000Z</x:v>
      </x:c>
      <x:c r="N159" s="8" t="str">
        <x:f>IF(E159&gt;='Resumen'!$B$8,"Próxima","Pasada")</x:f>
        <x:v>Pasada</x:v>
      </x:c>
    </x:row>
    <x:row r="160">
      <x:c r="A160" s="12" t="str">
        <x:v>El cielo, la tierra y la lluvia</x:v>
      </x:c>
      <x:c r="B160" s="12" t="str">
        <x:v>Sala Alicia Vega</x:v>
      </x:c>
      <x:c r="C160" s="8" t="str">
        <x:v>el-cielo-la-tierra-y-la-lluvia</x:v>
      </x:c>
      <x:c r="D160" s="8" t="str">
        <x:v>sala-alicia-vega</x:v>
      </x:c>
      <x:c r="E160" s="9" t="n">
        <x:v>46232.5</x:v>
      </x:c>
      <x:c r="F160" s="10" t="n">
        <x:v>0.625</x:v>
      </x:c>
      <x:c r="G160" s="11" t="n">
        <x:v>46232.791666666664</x:v>
      </x:c>
      <x:c r="H160" s="8" t="str">
        <x:v>America/Santiago</x:v>
      </x:c>
      <x:c r="I160" s="8" t="str">
        <x:v>website</x:v>
      </x:c>
      <x:c r="J160" s="12" t="str">
        <x:v>https://cinetecanacional.gob.cl/eventos/el-cielo-la-tierra-y-la-lluvia/</x:v>
      </x:c>
      <x:c r="K160" s="12" t="str">
        <x:v>https://cinetecanacional.gob.cl/eventos/el-cielo-la-tierra-y-la-lluvia/#2026-07-29T15:00:00-04:00</x:v>
      </x:c>
      <x:c r="L160" s="13" t="n">
        <x:v>46245.63541221065</x:v>
      </x:c>
      <x:c r="M160" s="12" t="str">
        <x:v>el-cielo-la-tierra-y-la-lluvia:sala-alicia-vega:2026-07-29T19:00:00.000Z</x:v>
      </x:c>
      <x:c r="N160" s="8" t="str">
        <x:f>IF(E160&gt;='Resumen'!$B$8,"Próxima","Pasada")</x:f>
        <x:v>Pasada</x:v>
      </x:c>
    </x:row>
    <x:row r="161">
      <x:c r="A161" s="12" t="str">
        <x:v>Esa otra selva blanca</x:v>
      </x:c>
      <x:c r="B161" s="12" t="str">
        <x:v>Sala de cine</x:v>
      </x:c>
      <x:c r="C161" s="8" t="str">
        <x:v>esa-otra-selva-blanca</x:v>
      </x:c>
      <x:c r="D161" s="8" t="str">
        <x:v>sala-de-cine</x:v>
      </x:c>
      <x:c r="E161" s="9" t="n">
        <x:v>46232.5</x:v>
      </x:c>
      <x:c r="F161" s="10" t="n">
        <x:v>0.6666666666666666</x:v>
      </x:c>
      <x:c r="G161" s="11" t="n">
        <x:v>46232.833333333336</x:v>
      </x:c>
      <x:c r="H161" s="8" t="str">
        <x:v>America/Santiago</x:v>
      </x:c>
      <x:c r="I161" s="8" t="str">
        <x:v>website</x:v>
      </x:c>
      <x:c r="J161" s="12" t="str">
        <x:v>https://cinetecanacional.gob.cl/eventos/esa-otra-selva-blanca/</x:v>
      </x:c>
      <x:c r="K161" s="12" t="str">
        <x:v>https://cinetecanacional.gob.cl/eventos/esa-otra-selva-blanca/#2026-07-29T16:00:00-04:00</x:v>
      </x:c>
      <x:c r="L161" s="13" t="n">
        <x:v>46245.63541221065</x:v>
      </x:c>
      <x:c r="M161" s="12" t="str">
        <x:v>esa-otra-selva-blanca:sala-de-cine:2026-07-29T20:00:00.000Z</x:v>
      </x:c>
      <x:c r="N161" s="8" t="str">
        <x:f>IF(E161&gt;='Resumen'!$B$8,"Próxima","Pasada")</x:f>
        <x:v>Pasada</x:v>
      </x:c>
    </x:row>
    <x:row r="162">
      <x:c r="A162" s="12" t="str">
        <x:v>Montecino: Testigo de lo efímero</x:v>
      </x:c>
      <x:c r="B162" s="12" t="str">
        <x:v>Sala de cine</x:v>
      </x:c>
      <x:c r="C162" s="8" t="str">
        <x:v>montecino-testigo-de-lo-efimero</x:v>
      </x:c>
      <x:c r="D162" s="8" t="str">
        <x:v>sala-de-cine</x:v>
      </x:c>
      <x:c r="E162" s="9" t="n">
        <x:v>46233.5</x:v>
      </x:c>
      <x:c r="F162" s="10" t="n">
        <x:v>0.5416666666666666</x:v>
      </x:c>
      <x:c r="G162" s="11" t="n">
        <x:v>46233.708333333336</x:v>
      </x:c>
      <x:c r="H162" s="8" t="str">
        <x:v>America/Santiago</x:v>
      </x:c>
      <x:c r="I162" s="8" t="str">
        <x:v>website</x:v>
      </x:c>
      <x:c r="J162" s="12" t="str">
        <x:v>https://cinetecanacional.gob.cl/eventos/montecino-testigo-de-lo-efimero/</x:v>
      </x:c>
      <x:c r="K162" s="12" t="str">
        <x:v>https://cinetecanacional.gob.cl/eventos/montecino-testigo-de-lo-efimero/#2026-07-30T13:00:00-04:00</x:v>
      </x:c>
      <x:c r="L162" s="13" t="n">
        <x:v>46245.63541221065</x:v>
      </x:c>
      <x:c r="M162" s="12" t="str">
        <x:v>montecino-testigo-de-lo-efimero:sala-de-cine:2026-07-30T17:00:00.000Z</x:v>
      </x:c>
      <x:c r="N162" s="8" t="str">
        <x:f>IF(E162&gt;='Resumen'!$B$8,"Próxima","Pasada")</x:f>
        <x:v>Pasada</x:v>
      </x:c>
    </x:row>
    <x:row r="163">
      <x:c r="A163" s="12" t="str">
        <x:v>El hombre del futuro</x:v>
      </x:c>
      <x:c r="B163" s="12" t="str">
        <x:v>Sala Alicia Vega</x:v>
      </x:c>
      <x:c r="C163" s="8" t="str">
        <x:v>el-hombre-del-futuro</x:v>
      </x:c>
      <x:c r="D163" s="8" t="str">
        <x:v>sala-alicia-vega</x:v>
      </x:c>
      <x:c r="E163" s="9" t="n">
        <x:v>46233.5</x:v>
      </x:c>
      <x:c r="F163" s="10" t="n">
        <x:v>0.625</x:v>
      </x:c>
      <x:c r="G163" s="11" t="n">
        <x:v>46233.791666666664</x:v>
      </x:c>
      <x:c r="H163" s="8" t="str">
        <x:v>America/Santiago</x:v>
      </x:c>
      <x:c r="I163" s="8" t="str">
        <x:v>website</x:v>
      </x:c>
      <x:c r="J163" s="12" t="str">
        <x:v>https://cinetecanacional.gob.cl/eventos/el-hombre-del-futuro/</x:v>
      </x:c>
      <x:c r="K163" s="12" t="str">
        <x:v>https://cinetecanacional.gob.cl/eventos/el-hombre-del-futuro/#2026-07-30T15:00:00-04:00</x:v>
      </x:c>
      <x:c r="L163" s="13" t="n">
        <x:v>46245.63541221065</x:v>
      </x:c>
      <x:c r="M163" s="12" t="str">
        <x:v>el-hombre-del-futuro:sala-alicia-vega:2026-07-30T19:00:00.000Z</x:v>
      </x:c>
      <x:c r="N163" s="8" t="str">
        <x:f>IF(E163&gt;='Resumen'!$B$8,"Próxima","Pasada")</x:f>
        <x:v>Pasada</x:v>
      </x:c>
    </x:row>
    <x:row r="164">
      <x:c r="A164" s="12" t="str">
        <x:v>La Grazia</x:v>
      </x:c>
      <x:c r="B164" s="12" t="str">
        <x:v>Sala de cine</x:v>
      </x:c>
      <x:c r="C164" s="8" t="str">
        <x:v>la-grazia</x:v>
      </x:c>
      <x:c r="D164" s="8" t="str">
        <x:v>sala-de-cine</x:v>
      </x:c>
      <x:c r="E164" s="9" t="n">
        <x:v>46233.5</x:v>
      </x:c>
      <x:c r="F164" s="10" t="n">
        <x:v>0.6666666666666666</x:v>
      </x:c>
      <x:c r="G164" s="11" t="n">
        <x:v>46233.833333333336</x:v>
      </x:c>
      <x:c r="H164" s="8" t="str">
        <x:v>America/Santiago</x:v>
      </x:c>
      <x:c r="I164" s="8" t="str">
        <x:v>website</x:v>
      </x:c>
      <x:c r="J164" s="12" t="str">
        <x:v>https://cinetecanacional.gob.cl/eventos/la-grazia/</x:v>
      </x:c>
      <x:c r="K164" s="12" t="str">
        <x:v>https://cinetecanacional.gob.cl/eventos/la-grazia/#2026-07-30T16:00:00-04:00</x:v>
      </x:c>
      <x:c r="L164" s="13" t="n">
        <x:v>46245.63541221065</x:v>
      </x:c>
      <x:c r="M164" s="12" t="str">
        <x:v>la-grazia:sala-de-cine:2026-07-30T20:00:00.000Z</x:v>
      </x:c>
      <x:c r="N164" s="8" t="str">
        <x:f>IF(E164&gt;='Resumen'!$B$8,"Próxima","Pasada")</x:f>
        <x:v>Pasada</x:v>
      </x:c>
    </x:row>
    <x:row r="165">
      <x:c r="A165" s="12" t="str">
        <x:v>Yo y la que fui</x:v>
      </x:c>
      <x:c r="B165" s="12" t="str">
        <x:v>Sala de cine</x:v>
      </x:c>
      <x:c r="C165" s="8" t="str">
        <x:v>yo-y-la-que-fui</x:v>
      </x:c>
      <x:c r="D165" s="8" t="str">
        <x:v>sala-de-cine</x:v>
      </x:c>
      <x:c r="E165" s="9" t="n">
        <x:v>46234.5</x:v>
      </x:c>
      <x:c r="F165" s="10" t="n">
        <x:v>0.5833333333333334</x:v>
      </x:c>
      <x:c r="G165" s="11" t="n">
        <x:v>46234.75</x:v>
      </x:c>
      <x:c r="H165" s="8" t="str">
        <x:v>America/Santiago</x:v>
      </x:c>
      <x:c r="I165" s="8" t="str">
        <x:v>website</x:v>
      </x:c>
      <x:c r="J165" s="12" t="str">
        <x:v>https://cinetecanacional.gob.cl/eventos/yo-y-la-que-fui-cineforo/</x:v>
      </x:c>
      <x:c r="K165" s="12" t="str">
        <x:v>https://cinetecanacional.gob.cl/eventos/yo-y-la-que-fui-cineforo/#2026-07-31T14:00:00-04:00</x:v>
      </x:c>
      <x:c r="L165" s="13" t="n">
        <x:v>46245.63541221065</x:v>
      </x:c>
      <x:c r="M165" s="12" t="str">
        <x:v>yo-y-la-que-fui:sala-de-cine:2026-07-31T18:00:00.000Z</x:v>
      </x:c>
      <x:c r="N165" s="8" t="str">
        <x:f>IF(E165&gt;='Resumen'!$B$8,"Próxima","Pasada")</x:f>
        <x:v>Pasada</x:v>
      </x:c>
    </x:row>
    <x:row r="166">
      <x:c r="A166" s="12" t="str">
        <x:v>Notas para una película</x:v>
      </x:c>
      <x:c r="B166" s="12" t="str">
        <x:v>Sala Alicia Vega</x:v>
      </x:c>
      <x:c r="C166" s="8" t="str">
        <x:v>notas-para-una-pelicula</x:v>
      </x:c>
      <x:c r="D166" s="8" t="str">
        <x:v>sala-alicia-vega</x:v>
      </x:c>
      <x:c r="E166" s="9" t="n">
        <x:v>46234.5</x:v>
      </x:c>
      <x:c r="F166" s="10" t="n">
        <x:v>0.625</x:v>
      </x:c>
      <x:c r="G166" s="11" t="n">
        <x:v>46234.791666666664</x:v>
      </x:c>
      <x:c r="H166" s="8" t="str">
        <x:v>America/Santiago</x:v>
      </x:c>
      <x:c r="I166" s="8" t="str">
        <x:v>website</x:v>
      </x:c>
      <x:c r="J166" s="12" t="str">
        <x:v>https://cinetecanacional.gob.cl/eventos/notas-para-una-pelicula/</x:v>
      </x:c>
      <x:c r="K166" s="12" t="str">
        <x:v>https://cinetecanacional.gob.cl/eventos/notas-para-una-pelicula/#2026-07-31T15:00:00-04:00</x:v>
      </x:c>
      <x:c r="L166" s="13" t="n">
        <x:v>46245.63541221065</x:v>
      </x:c>
      <x:c r="M166" s="12" t="str">
        <x:v>notas-para-una-pelicula:sala-alicia-vega:2026-07-31T19:00:00.000Z</x:v>
      </x:c>
      <x:c r="N166" s="8" t="str">
        <x:f>IF(E166&gt;='Resumen'!$B$8,"Próxima","Pasada")</x:f>
        <x:v>Pasada</x:v>
      </x:c>
    </x:row>
    <x:row r="167">
      <x:c r="A167" s="12" t="str">
        <x:v>Una sombra oscilante</x:v>
      </x:c>
      <x:c r="B167" s="12" t="str">
        <x:v>Sala de cine</x:v>
      </x:c>
      <x:c r="C167" s="8" t="str">
        <x:v>una-sombra-oscilante</x:v>
      </x:c>
      <x:c r="D167" s="8" t="str">
        <x:v>sala-de-cine</x:v>
      </x:c>
      <x:c r="E167" s="9" t="n">
        <x:v>46234.5</x:v>
      </x:c>
      <x:c r="F167" s="10" t="n">
        <x:v>0.6666666666666666</x:v>
      </x:c>
      <x:c r="G167" s="11" t="n">
        <x:v>46234.833333333336</x:v>
      </x:c>
      <x:c r="H167" s="8" t="str">
        <x:v>America/Santiago</x:v>
      </x:c>
      <x:c r="I167" s="8" t="str">
        <x:v>website</x:v>
      </x:c>
      <x:c r="J167" s="12" t="str">
        <x:v>https://cinetecanacional.gob.cl/eventos/una-sombra-oscilante/</x:v>
      </x:c>
      <x:c r="K167" s="12" t="str">
        <x:v>https://cinetecanacional.gob.cl/eventos/una-sombra-oscilante/#2026-07-31T16:00:00-04:00</x:v>
      </x:c>
      <x:c r="L167" s="13" t="n">
        <x:v>46245.63541221065</x:v>
      </x:c>
      <x:c r="M167" s="12" t="str">
        <x:v>una-sombra-oscilante:sala-de-cine:2026-07-31T20:00:00.000Z</x:v>
      </x:c>
      <x:c r="N167" s="8" t="str">
        <x:f>IF(E167&gt;='Resumen'!$B$8,"Próxima","Pasada")</x:f>
        <x:v>Pasada</x:v>
      </x:c>
    </x:row>
    <x:row r="168">
      <x:c r="A168" s="12" t="str">
        <x:v>Chao: La Sirena</x:v>
      </x:c>
      <x:c r="B168" s="12" t="str">
        <x:v>Sala de cine</x:v>
      </x:c>
      <x:c r="C168" s="8" t="str">
        <x:v>chao-la-sirena</x:v>
      </x:c>
      <x:c r="D168" s="8" t="str">
        <x:v>sala-de-cine</x:v>
      </x:c>
      <x:c r="E168" s="9" t="n">
        <x:v>46235.5</x:v>
      </x:c>
      <x:c r="F168" s="10" t="n">
        <x:v>0.4583333333333333</x:v>
      </x:c>
      <x:c r="G168" s="11" t="n">
        <x:v>46235.625</x:v>
      </x:c>
      <x:c r="H168" s="8" t="str">
        <x:v>America/Santiago</x:v>
      </x:c>
      <x:c r="I168" s="8" t="str">
        <x:v>website</x:v>
      </x:c>
      <x:c r="J168" s="12" t="str">
        <x:v>https://cinetecanacional.gob.cl/eventos/chao-la-sirena-doblada-al-espanol/</x:v>
      </x:c>
      <x:c r="K168" s="12" t="str">
        <x:v>https://cinetecanacional.gob.cl/eventos/chao-la-sirena-doblada-al-espanol/#2026-08-01T11:00:00-04:00</x:v>
      </x:c>
      <x:c r="L168" s="13" t="n">
        <x:v>46245.63541221065</x:v>
      </x:c>
      <x:c r="M168" s="12" t="str">
        <x:v>chao-la-sirena:sala-de-cine:2026-08-01T15:00:00.000Z</x:v>
      </x:c>
      <x:c r="N168" s="8" t="str">
        <x:f>IF(E168&gt;='Resumen'!$B$8,"Próxima","Pasada")</x:f>
        <x:v>Pasada</x:v>
      </x:c>
    </x:row>
    <x:row r="169">
      <x:c r="A169" s="12" t="str">
        <x:v>Sara Facio: Haber estado ahí</x:v>
      </x:c>
      <x:c r="B169" s="12" t="str">
        <x:v>Sala de cine</x:v>
      </x:c>
      <x:c r="C169" s="8" t="str">
        <x:v>sara-facio-haber-estado-ahi</x:v>
      </x:c>
      <x:c r="D169" s="8" t="str">
        <x:v>sala-de-cine</x:v>
      </x:c>
      <x:c r="E169" s="9" t="n">
        <x:v>46235.5</x:v>
      </x:c>
      <x:c r="F169" s="10" t="n">
        <x:v>0.5833333333333334</x:v>
      </x:c>
      <x:c r="G169" s="11" t="n">
        <x:v>46235.75</x:v>
      </x:c>
      <x:c r="H169" s="8" t="str">
        <x:v>America/Santiago</x:v>
      </x:c>
      <x:c r="I169" s="8" t="str">
        <x:v>website</x:v>
      </x:c>
      <x:c r="J169" s="12" t="str">
        <x:v>https://cinetecanacional.gob.cl/eventos/sara-facio-haber-estado-ahi/</x:v>
      </x:c>
      <x:c r="K169" s="12" t="str">
        <x:v>https://cinetecanacional.gob.cl/eventos/sara-facio-haber-estado-ahi/#2026-08-01T14:00:00-04:00</x:v>
      </x:c>
      <x:c r="L169" s="13" t="n">
        <x:v>46245.63541221065</x:v>
      </x:c>
      <x:c r="M169" s="12" t="str">
        <x:v>sara-facio-haber-estado-ahi:sala-de-cine:2026-08-01T18:00:00.000Z</x:v>
      </x:c>
      <x:c r="N169" s="8" t="str">
        <x:f>IF(E169&gt;='Resumen'!$B$8,"Próxima","Pasada")</x:f>
        <x:v>Pasada</x:v>
      </x:c>
    </x:row>
    <x:row r="170">
      <x:c r="A170" s="12" t="str">
        <x:v>Rey</x:v>
      </x:c>
      <x:c r="B170" s="12" t="str">
        <x:v>Sala Alicia Vega</x:v>
      </x:c>
      <x:c r="C170" s="8" t="str">
        <x:v>rey</x:v>
      </x:c>
      <x:c r="D170" s="8" t="str">
        <x:v>sala-alicia-vega</x:v>
      </x:c>
      <x:c r="E170" s="9" t="n">
        <x:v>46235.5</x:v>
      </x:c>
      <x:c r="F170" s="10" t="n">
        <x:v>0.625</x:v>
      </x:c>
      <x:c r="G170" s="11" t="n">
        <x:v>46235.791666666664</x:v>
      </x:c>
      <x:c r="H170" s="8" t="str">
        <x:v>America/Santiago</x:v>
      </x:c>
      <x:c r="I170" s="8" t="str">
        <x:v>website</x:v>
      </x:c>
      <x:c r="J170" s="12" t="str">
        <x:v>https://cinetecanacional.gob.cl/eventos/rey/</x:v>
      </x:c>
      <x:c r="K170" s="12" t="str">
        <x:v>https://cinetecanacional.gob.cl/eventos/rey/#2026-08-01T15:00:00-04:00</x:v>
      </x:c>
      <x:c r="L170" s="13" t="n">
        <x:v>46245.63541221065</x:v>
      </x:c>
      <x:c r="M170" s="12" t="str">
        <x:v>rey:sala-alicia-vega:2026-08-01T19:00:00.000Z</x:v>
      </x:c>
      <x:c r="N170" s="8" t="str">
        <x:f>IF(E170&gt;='Resumen'!$B$8,"Próxima","Pasada")</x:f>
        <x:v>Pasada</x:v>
      </x:c>
    </x:row>
    <x:row r="171">
      <x:c r="A171" s="12" t="str">
        <x:v>Poirot, último testigo</x:v>
      </x:c>
      <x:c r="B171" s="12" t="str">
        <x:v>Sala de cine</x:v>
      </x:c>
      <x:c r="C171" s="8" t="str">
        <x:v>poirot-ultimo-testigo</x:v>
      </x:c>
      <x:c r="D171" s="8" t="str">
        <x:v>sala-de-cine</x:v>
      </x:c>
      <x:c r="E171" s="9" t="n">
        <x:v>46236.5</x:v>
      </x:c>
      <x:c r="F171" s="10" t="n">
        <x:v>0.5416666666666666</x:v>
      </x:c>
      <x:c r="G171" s="11" t="n">
        <x:v>46236.708333333336</x:v>
      </x:c>
      <x:c r="H171" s="8" t="str">
        <x:v>America/Santiago</x:v>
      </x:c>
      <x:c r="I171" s="8" t="str">
        <x:v>website</x:v>
      </x:c>
      <x:c r="J171" s="12" t="str">
        <x:v>https://cinetecanacional.gob.cl/eventos/poirot-ultimo-testigo/</x:v>
      </x:c>
      <x:c r="K171" s="12" t="str">
        <x:v>https://cinetecanacional.gob.cl/eventos/poirot-ultimo-testigo/#2026-08-02T13:00:00-04:00</x:v>
      </x:c>
      <x:c r="L171" s="13" t="n">
        <x:v>46245.63541221065</x:v>
      </x:c>
      <x:c r="M171" s="12" t="str">
        <x:v>poirot-ultimo-testigo:sala-de-cine:2026-08-02T17:00:00.000Z</x:v>
      </x:c>
      <x:c r="N171" s="8" t="str">
        <x:f>IF(E171&gt;='Resumen'!$B$8,"Próxima","Pasada")</x:f>
        <x:v>Pasada</x:v>
      </x:c>
    </x:row>
    <x:row r="172">
      <x:c r="A172" s="12" t="str">
        <x:v>Butterfly + The crossing</x:v>
      </x:c>
      <x:c r="B172" s="12" t="str">
        <x:v>Sala Alicia Vega</x:v>
      </x:c>
      <x:c r="C172" s="8" t="str">
        <x:v>butterfly-the-crossing</x:v>
      </x:c>
      <x:c r="D172" s="8" t="str">
        <x:v>sala-alicia-vega</x:v>
      </x:c>
      <x:c r="E172" s="9" t="n">
        <x:v>46238.5</x:v>
      </x:c>
      <x:c r="F172" s="10" t="n">
        <x:v>0.5416666666666666</x:v>
      </x:c>
      <x:c r="G172" s="11" t="n">
        <x:v>46238.708333333336</x:v>
      </x:c>
      <x:c r="H172" s="8" t="str">
        <x:v>America/Santiago</x:v>
      </x:c>
      <x:c r="I172" s="8" t="str">
        <x:v>website</x:v>
      </x:c>
      <x:c r="J172" s="12" t="str">
        <x:v>https://cinetecanacional.gob.cl/eventos/butterfly-the-crossing/</x:v>
      </x:c>
      <x:c r="K172" s="12" t="str">
        <x:v>https://cinetecanacional.gob.cl/eventos/butterfly-the-crossing/#2026-08-04T13:00:00-04:00</x:v>
      </x:c>
      <x:c r="L172" s="13" t="n">
        <x:v>46245.63541221065</x:v>
      </x:c>
      <x:c r="M172" s="12" t="str">
        <x:v>butterfly-the-crossing:sala-alicia-vega:2026-08-04T17:00:00.000Z</x:v>
      </x:c>
      <x:c r="N172" s="8" t="str">
        <x:f>IF(E172&gt;='Resumen'!$B$8,"Próxima","Pasada")</x:f>
        <x:v>Pasada</x:v>
      </x:c>
    </x:row>
    <x:row r="173">
      <x:c r="A173" s="12" t="str">
        <x:v>Palomita blanca</x:v>
      </x:c>
      <x:c r="B173" s="12" t="str">
        <x:v>Sala de cine</x:v>
      </x:c>
      <x:c r="C173" s="8" t="str">
        <x:v>palomita-blanca</x:v>
      </x:c>
      <x:c r="D173" s="8" t="str">
        <x:v>sala-de-cine</x:v>
      </x:c>
      <x:c r="E173" s="9" t="n">
        <x:v>46238.5</x:v>
      </x:c>
      <x:c r="F173" s="10" t="n">
        <x:v>0.625</x:v>
      </x:c>
      <x:c r="G173" s="11" t="n">
        <x:v>46238.791666666664</x:v>
      </x:c>
      <x:c r="H173" s="8" t="str">
        <x:v>America/Santiago</x:v>
      </x:c>
      <x:c r="I173" s="8" t="str">
        <x:v>website</x:v>
      </x:c>
      <x:c r="J173" s="12" t="str">
        <x:v>https://cinetecanacional.gob.cl/eventos/palomita-blanca/</x:v>
      </x:c>
      <x:c r="K173" s="12" t="str">
        <x:v>https://cinetecanacional.gob.cl/eventos/palomita-blanca/#2026-08-04T15:00:00-04:00</x:v>
      </x:c>
      <x:c r="L173" s="13" t="n">
        <x:v>46245.63541221065</x:v>
      </x:c>
      <x:c r="M173" s="12" t="str">
        <x:v>palomita-blanca:sala-de-cine:2026-08-04T19:00:00.000Z</x:v>
      </x:c>
      <x:c r="N173" s="8" t="str">
        <x:f>IF(E173&gt;='Resumen'!$B$8,"Próxima","Pasada")</x:f>
        <x:v>Pasada</x:v>
      </x:c>
    </x:row>
    <x:row r="174">
      <x:c r="A174" s="12" t="str">
        <x:v>Calamity</x:v>
      </x:c>
      <x:c r="B174" s="12" t="str">
        <x:v>Sala Alicia Vega</x:v>
      </x:c>
      <x:c r="C174" s="8" t="str">
        <x:v>calamity</x:v>
      </x:c>
      <x:c r="D174" s="8" t="str">
        <x:v>sala-alicia-vega</x:v>
      </x:c>
      <x:c r="E174" s="9" t="n">
        <x:v>46239.5</x:v>
      </x:c>
      <x:c r="F174" s="10" t="n">
        <x:v>0.5416666666666666</x:v>
      </x:c>
      <x:c r="G174" s="11" t="n">
        <x:v>46239.708333333336</x:v>
      </x:c>
      <x:c r="H174" s="8" t="str">
        <x:v>America/Santiago</x:v>
      </x:c>
      <x:c r="I174" s="8" t="str">
        <x:v>website</x:v>
      </x:c>
      <x:c r="J174" s="12" t="str">
        <x:v>https://cinetecanacional.gob.cl/eventos/calamity/</x:v>
      </x:c>
      <x:c r="K174" s="12" t="str">
        <x:v>https://cinetecanacional.gob.cl/eventos/calamity/#2026-08-05T13:00:00-04:00</x:v>
      </x:c>
      <x:c r="L174" s="13" t="n">
        <x:v>46245.63541221065</x:v>
      </x:c>
      <x:c r="M174" s="12" t="str">
        <x:v>calamity:sala-alicia-vega:2026-08-05T17:00:00.000Z</x:v>
      </x:c>
      <x:c r="N174" s="8" t="str">
        <x:f>IF(E174&gt;='Resumen'!$B$8,"Próxima","Pasada")</x:f>
        <x:v>Pasada</x:v>
      </x:c>
    </x:row>
    <x:row r="175">
      <x:c r="A175" s="12" t="str">
        <x:v>Brise-glace</x:v>
      </x:c>
      <x:c r="B175" s="12" t="str">
        <x:v>Sala de cine</x:v>
      </x:c>
      <x:c r="C175" s="8" t="str">
        <x:v>brise-glace</x:v>
      </x:c>
      <x:c r="D175" s="8" t="str">
        <x:v>sala-de-cine</x:v>
      </x:c>
      <x:c r="E175" s="9" t="n">
        <x:v>46239.5</x:v>
      </x:c>
      <x:c r="F175" s="10" t="n">
        <x:v>0.5833333333333334</x:v>
      </x:c>
      <x:c r="G175" s="11" t="n">
        <x:v>46239.75</x:v>
      </x:c>
      <x:c r="H175" s="8" t="str">
        <x:v>America/Santiago</x:v>
      </x:c>
      <x:c r="I175" s="8" t="str">
        <x:v>website</x:v>
      </x:c>
      <x:c r="J175" s="12" t="str">
        <x:v>https://cinetecanacional.gob.cl/eventos/brise-glace/</x:v>
      </x:c>
      <x:c r="K175" s="12" t="str">
        <x:v>https://cinetecanacional.gob.cl/eventos/brise-glace/#2026-08-05T14:00:00-04:00</x:v>
      </x:c>
      <x:c r="L175" s="13" t="n">
        <x:v>46245.63541221065</x:v>
      </x:c>
      <x:c r="M175" s="12" t="str">
        <x:v>brise-glace:sala-de-cine:2026-08-05T18:00:00.000Z</x:v>
      </x:c>
      <x:c r="N175" s="8" t="str">
        <x:f>IF(E175&gt;='Resumen'!$B$8,"Próxima","Pasada")</x:f>
        <x:v>Pasada</x:v>
      </x:c>
    </x:row>
    <x:row r="176">
      <x:c r="A176" s="12" t="str">
        <x:v>Tres tristes tigres</x:v>
      </x:c>
      <x:c r="B176" s="12" t="str">
        <x:v>Cineteca Nacional de Chile</x:v>
      </x:c>
      <x:c r="C176" s="8" t="str">
        <x:v>tres-tristes-tigres</x:v>
      </x:c>
      <x:c r="D176" s="8" t="str">
        <x:v>cineteca-nacional-de-chile</x:v>
      </x:c>
      <x:c r="E176" s="9" t="n">
        <x:v>46239.5</x:v>
      </x:c>
      <x:c r="F176" s="10" t="n">
        <x:v>0.6666666666666666</x:v>
      </x:c>
      <x:c r="G176" s="11" t="n">
        <x:v>46239.833333333336</x:v>
      </x:c>
      <x:c r="H176" s="8" t="str">
        <x:v>America/Santiago</x:v>
      </x:c>
      <x:c r="I176" s="8" t="str">
        <x:v>website</x:v>
      </x:c>
      <x:c r="J176" s="12" t="str">
        <x:v>https://cinetecanacional.gob.cl/eventos/tres-tristes-tigres/</x:v>
      </x:c>
      <x:c r="K176" s="12" t="str">
        <x:v>https://cinetecanacional.gob.cl/eventos/tres-tristes-tigres/#2026-08-05T16:00:00-04:00</x:v>
      </x:c>
      <x:c r="L176" s="13" t="n">
        <x:v>46245.63541221065</x:v>
      </x:c>
      <x:c r="M176" s="12" t="str">
        <x:v>tres-tristes-tigres:cineteca-nacional-de-chile:2026-08-05T20:00:00.000Z</x:v>
      </x:c>
      <x:c r="N176" s="8" t="str">
        <x:f>IF(E176&gt;='Resumen'!$B$8,"Próxima","Pasada")</x:f>
        <x:v>Pasada</x:v>
      </x:c>
    </x:row>
    <x:row r="177">
      <x:c r="A177" s="12" t="str">
        <x:v>No se admiten perros ni italianos</x:v>
      </x:c>
      <x:c r="B177" s="12" t="str">
        <x:v>Sala Alicia Vega</x:v>
      </x:c>
      <x:c r="C177" s="8" t="str">
        <x:v>no-se-admiten-perros-ni-italianos</x:v>
      </x:c>
      <x:c r="D177" s="8" t="str">
        <x:v>sala-alicia-vega</x:v>
      </x:c>
      <x:c r="E177" s="9" t="n">
        <x:v>46240.5</x:v>
      </x:c>
      <x:c r="F177" s="10" t="n">
        <x:v>0.5416666666666666</x:v>
      </x:c>
      <x:c r="G177" s="11" t="n">
        <x:v>46240.708333333336</x:v>
      </x:c>
      <x:c r="H177" s="8" t="str">
        <x:v>America/Santiago</x:v>
      </x:c>
      <x:c r="I177" s="8" t="str">
        <x:v>website</x:v>
      </x:c>
      <x:c r="J177" s="12" t="str">
        <x:v>https://cinetecanacional.gob.cl/eventos/no-se-admiten-perros-ni-italianos/</x:v>
      </x:c>
      <x:c r="K177" s="12" t="str">
        <x:v>https://cinetecanacional.gob.cl/eventos/no-se-admiten-perros-ni-italianos/#2026-08-06T13:00:00-04:00</x:v>
      </x:c>
      <x:c r="L177" s="13" t="n">
        <x:v>46245.63541221065</x:v>
      </x:c>
      <x:c r="M177" s="12" t="str">
        <x:v>no-se-admiten-perros-ni-italianos:sala-alicia-vega:2026-08-06T17:00:00.000Z</x:v>
      </x:c>
      <x:c r="N177" s="8" t="str">
        <x:f>IF(E177&gt;='Resumen'!$B$8,"Próxima","Pasada")</x:f>
        <x:v>Pasada</x:v>
      </x:c>
    </x:row>
    <x:row r="178">
      <x:c r="A178" s="12" t="str">
        <x:v>La noche de enfrente</x:v>
      </x:c>
      <x:c r="B178" s="12" t="str">
        <x:v>Sala de cine</x:v>
      </x:c>
      <x:c r="C178" s="8" t="str">
        <x:v>la-noche-de-enfrente</x:v>
      </x:c>
      <x:c r="D178" s="8" t="str">
        <x:v>sala-de-cine</x:v>
      </x:c>
      <x:c r="E178" s="9" t="n">
        <x:v>46241.5</x:v>
      </x:c>
      <x:c r="F178" s="10" t="n">
        <x:v>0.5416666666666666</x:v>
      </x:c>
      <x:c r="G178" s="11" t="n">
        <x:v>46241.708333333336</x:v>
      </x:c>
      <x:c r="H178" s="8" t="str">
        <x:v>America/Santiago</x:v>
      </x:c>
      <x:c r="I178" s="8" t="str">
        <x:v>website</x:v>
      </x:c>
      <x:c r="J178" s="12" t="str">
        <x:v>https://cinetecanacional.gob.cl/eventos/la-noche-de-enfrente/</x:v>
      </x:c>
      <x:c r="K178" s="12" t="str">
        <x:v>https://cinetecanacional.gob.cl/eventos/la-noche-de-enfrente/#2026-08-07T13:00:00-04:00</x:v>
      </x:c>
      <x:c r="L178" s="13" t="n">
        <x:v>46245.63541221065</x:v>
      </x:c>
      <x:c r="M178" s="12" t="str">
        <x:v>la-noche-de-enfrente:sala-de-cine:2026-08-07T17:00:00.000Z</x:v>
      </x:c>
      <x:c r="N178" s="8" t="str">
        <x:f>IF(E178&gt;='Resumen'!$B$8,"Próxima","Pasada")</x:f>
        <x:v>Pasada</x:v>
      </x:c>
    </x:row>
    <x:row r="179">
      <x:c r="A179" s="12" t="str">
        <x:v>¡Linda quiere pollo!</x:v>
      </x:c>
      <x:c r="B179" s="12" t="str">
        <x:v>Sala Alicia Vega</x:v>
      </x:c>
      <x:c r="C179" s="8" t="str">
        <x:v>linda-quiere-pollo</x:v>
      </x:c>
      <x:c r="D179" s="8" t="str">
        <x:v>sala-alicia-vega</x:v>
      </x:c>
      <x:c r="E179" s="9" t="n">
        <x:v>46241.5</x:v>
      </x:c>
      <x:c r="F179" s="10" t="n">
        <x:v>0.5416666666666666</x:v>
      </x:c>
      <x:c r="G179" s="11" t="n">
        <x:v>46241.708333333336</x:v>
      </x:c>
      <x:c r="H179" s="8" t="str">
        <x:v>America/Santiago</x:v>
      </x:c>
      <x:c r="I179" s="8" t="str">
        <x:v>website</x:v>
      </x:c>
      <x:c r="J179" s="12" t="str">
        <x:v>https://cinetecanacional.gob.cl/eventos/linda-quiere-pollo/</x:v>
      </x:c>
      <x:c r="K179" s="12" t="str">
        <x:v>https://cinetecanacional.gob.cl/eventos/linda-quiere-pollo/#2026-08-07T13:00:00-04:00</x:v>
      </x:c>
      <x:c r="L179" s="13" t="n">
        <x:v>46245.63541221065</x:v>
      </x:c>
      <x:c r="M179" s="12" t="str">
        <x:v>linda-quiere-pollo:sala-alicia-vega:2026-08-07T17:00:00.000Z</x:v>
      </x:c>
      <x:c r="N179" s="8" t="str">
        <x:f>IF(E179&gt;='Resumen'!$B$8,"Próxima","Pasada")</x:f>
        <x:v>Pasada</x:v>
      </x:c>
    </x:row>
    <x:row r="180">
      <x:c r="A180" s="12" t="str">
        <x:v>La Recta Provincia</x:v>
      </x:c>
      <x:c r="B180" s="12" t="str">
        <x:v>Sala de cine</x:v>
      </x:c>
      <x:c r="C180" s="8" t="str">
        <x:v>la-recta-provincia</x:v>
      </x:c>
      <x:c r="D180" s="8" t="str">
        <x:v>sala-de-cine</x:v>
      </x:c>
      <x:c r="E180" s="9" t="n">
        <x:v>46241.5</x:v>
      </x:c>
      <x:c r="F180" s="10" t="n">
        <x:v>0.625</x:v>
      </x:c>
      <x:c r="G180" s="11" t="n">
        <x:v>46241.791666666664</x:v>
      </x:c>
      <x:c r="H180" s="8" t="str">
        <x:v>America/Santiago</x:v>
      </x:c>
      <x:c r="I180" s="8" t="str">
        <x:v>website</x:v>
      </x:c>
      <x:c r="J180" s="12" t="str">
        <x:v>https://cinetecanacional.gob.cl/eventos/la-recta-provincia/</x:v>
      </x:c>
      <x:c r="K180" s="12" t="str">
        <x:v>https://cinetecanacional.gob.cl/eventos/la-recta-provincia/#2026-08-07T15:00:00-04:00</x:v>
      </x:c>
      <x:c r="L180" s="13" t="n">
        <x:v>46245.63541221065</x:v>
      </x:c>
      <x:c r="M180" s="12" t="str">
        <x:v>la-recta-provincia:sala-de-cine:2026-08-07T19:00:00.000Z</x:v>
      </x:c>
      <x:c r="N180" s="8" t="str">
        <x:f>IF(E180&gt;='Resumen'!$B$8,"Próxima","Pasada")</x:f>
        <x:v>Pasada</x:v>
      </x:c>
    </x:row>
    <x:row r="181">
      <x:c r="A181" s="12" t="str">
        <x:v>Moscas</x:v>
      </x:c>
      <x:c r="B181" s="12" t="str">
        <x:v>Sala de cine</x:v>
      </x:c>
      <x:c r="C181" s="8" t="str">
        <x:v>moscas</x:v>
      </x:c>
      <x:c r="D181" s="8" t="str">
        <x:v>sala-de-cine</x:v>
      </x:c>
      <x:c r="E181" s="9" t="n">
        <x:v>46246.5</x:v>
      </x:c>
      <x:c r="F181" s="10" t="n">
        <x:v>0.5833333333333334</x:v>
      </x:c>
      <x:c r="G181" s="11" t="n">
        <x:v>46246.75</x:v>
      </x:c>
      <x:c r="H181" s="8" t="str">
        <x:v>America/Santiago</x:v>
      </x:c>
      <x:c r="I181" s="8" t="str">
        <x:v>website</x:v>
      </x:c>
      <x:c r="J181" s="12" t="str">
        <x:v>https://cinetecanacional.gob.cl/eventos/moscas/</x:v>
      </x:c>
      <x:c r="K181" s="12" t="str">
        <x:v>https://cinetecanacional.gob.cl/eventos/moscas/#2026-08-12T14:00:00-04:00</x:v>
      </x:c>
      <x:c r="L181" s="13" t="n">
        <x:v>46245.63541221065</x:v>
      </x:c>
      <x:c r="M181" s="12" t="str">
        <x:v>moscas:sala-de-cine:2026-08-12T18:00:00.000Z</x:v>
      </x:c>
      <x:c r="N181" s="8" t="str">
        <x:f>IF(E181&gt;='Resumen'!$B$8,"Próxima","Pasada")</x:f>
        <x:v>Próxima</x:v>
      </x:c>
    </x:row>
    <x:row r="182">
      <x:c r="A182" s="12" t="str">
        <x:v>Brise-glace</x:v>
      </x:c>
      <x:c r="B182" s="12" t="str">
        <x:v>Sala de cine</x:v>
      </x:c>
      <x:c r="C182" s="8" t="str">
        <x:v>brise-glace</x:v>
      </x:c>
      <x:c r="D182" s="8" t="str">
        <x:v>sala-de-cine</x:v>
      </x:c>
      <x:c r="E182" s="9" t="n">
        <x:v>46246.5</x:v>
      </x:c>
      <x:c r="F182" s="10" t="n">
        <x:v>0.625</x:v>
      </x:c>
      <x:c r="G182" s="11" t="n">
        <x:v>46246.791666666664</x:v>
      </x:c>
      <x:c r="H182" s="8" t="str">
        <x:v>America/Santiago</x:v>
      </x:c>
      <x:c r="I182" s="8" t="str">
        <x:v>website</x:v>
      </x:c>
      <x:c r="J182" s="12" t="str">
        <x:v>https://cinetecanacional.gob.cl/eventos/brise-glace/</x:v>
      </x:c>
      <x:c r="K182" s="12" t="str">
        <x:v>https://cinetecanacional.gob.cl/eventos/brise-glace/#2026-08-12T15:00:00-04:00</x:v>
      </x:c>
      <x:c r="L182" s="13" t="n">
        <x:v>46245.63541221065</x:v>
      </x:c>
      <x:c r="M182" s="12" t="str">
        <x:v>brise-glace:sala-de-cine:2026-08-12T19:00:00.000Z</x:v>
      </x:c>
      <x:c r="N182" s="8" t="str">
        <x:f>IF(E182&gt;='Resumen'!$B$8,"Próxima","Pasada")</x:f>
        <x:v>Próxima</x:v>
      </x:c>
    </x:row>
    <x:row r="183">
      <x:c r="A183" s="12" t="str">
        <x:v>Sisi &amp; ich (Sisi y yo)</x:v>
      </x:c>
      <x:c r="B183" s="12" t="str">
        <x:v>Sala de cine</x:v>
      </x:c>
      <x:c r="C183" s="8" t="str">
        <x:v>sisi-ich-sisi-y-yo</x:v>
      </x:c>
      <x:c r="D183" s="8" t="str">
        <x:v>sala-de-cine</x:v>
      </x:c>
      <x:c r="E183" s="9" t="n">
        <x:v>46246.5</x:v>
      </x:c>
      <x:c r="F183" s="10" t="n">
        <x:v>0.6666666666666666</x:v>
      </x:c>
      <x:c r="G183" s="11" t="n">
        <x:v>46246.833333333336</x:v>
      </x:c>
      <x:c r="H183" s="8" t="str">
        <x:v>America/Santiago</x:v>
      </x:c>
      <x:c r="I183" s="8" t="str">
        <x:v>website</x:v>
      </x:c>
      <x:c r="J183" s="12" t="str">
        <x:v>https://cinetecanacional.gob.cl/eventos/sisi-ich-sisi-y-yo/</x:v>
      </x:c>
      <x:c r="K183" s="12" t="str">
        <x:v>https://cinetecanacional.gob.cl/eventos/sisi-ich-sisi-y-yo/#2026-08-12T16:00:00-04:00</x:v>
      </x:c>
      <x:c r="L183" s="13" t="n">
        <x:v>46245.63541221065</x:v>
      </x:c>
      <x:c r="M183" s="12" t="str">
        <x:v>sisi-ich-sisi-y-yo:sala-de-cine:2026-08-12T20:00:00.000Z</x:v>
      </x:c>
      <x:c r="N183" s="8" t="str">
        <x:f>IF(E183&gt;='Resumen'!$B$8,"Próxima","Pasada")</x:f>
        <x:v>Próxima</x:v>
      </x:c>
    </x:row>
    <x:row r="184">
      <x:c r="A184" s="12" t="str">
        <x:v>No se admiten perros ni italianos</x:v>
      </x:c>
      <x:c r="B184" s="12" t="str">
        <x:v>Sala Alicia Vega</x:v>
      </x:c>
      <x:c r="C184" s="8" t="str">
        <x:v>no-se-admiten-perros-ni-italianos</x:v>
      </x:c>
      <x:c r="D184" s="8" t="str">
        <x:v>sala-alicia-vega</x:v>
      </x:c>
      <x:c r="E184" s="9" t="n">
        <x:v>46247.5</x:v>
      </x:c>
      <x:c r="F184" s="10" t="n">
        <x:v>0.5416666666666666</x:v>
      </x:c>
      <x:c r="G184" s="11" t="n">
        <x:v>46247.708333333336</x:v>
      </x:c>
      <x:c r="H184" s="8" t="str">
        <x:v>America/Santiago</x:v>
      </x:c>
      <x:c r="I184" s="8" t="str">
        <x:v>website</x:v>
      </x:c>
      <x:c r="J184" s="12" t="str">
        <x:v>https://cinetecanacional.gob.cl/eventos/no-se-admiten-perros-ni-italianos/</x:v>
      </x:c>
      <x:c r="K184" s="12" t="str">
        <x:v>https://cinetecanacional.gob.cl/eventos/no-se-admiten-perros-ni-italianos/#2026-08-13T13:00:00-04:00</x:v>
      </x:c>
      <x:c r="L184" s="13" t="n">
        <x:v>46245.63541221065</x:v>
      </x:c>
      <x:c r="M184" s="12" t="str">
        <x:v>no-se-admiten-perros-ni-italianos:sala-alicia-vega:2026-08-13T17:00:00.000Z</x:v>
      </x:c>
      <x:c r="N184" s="8" t="str">
        <x:f>IF(E184&gt;='Resumen'!$B$8,"Próxima","Pasada")</x:f>
        <x:v>Próxima</x:v>
      </x:c>
    </x:row>
    <x:row r="185">
      <x:c r="A185" s="12" t="str">
        <x:v>Mil pedazos</x:v>
      </x:c>
      <x:c r="B185" s="12" t="str">
        <x:v>Sala de cine</x:v>
      </x:c>
      <x:c r="C185" s="8" t="str">
        <x:v>mil-pedazos</x:v>
      </x:c>
      <x:c r="D185" s="8" t="str">
        <x:v>sala-de-cine</x:v>
      </x:c>
      <x:c r="E185" s="9" t="n">
        <x:v>46247.5</x:v>
      </x:c>
      <x:c r="F185" s="10" t="n">
        <x:v>0.5833333333333334</x:v>
      </x:c>
      <x:c r="G185" s="11" t="n">
        <x:v>46247.75</x:v>
      </x:c>
      <x:c r="H185" s="8" t="str">
        <x:v>America/Santiago</x:v>
      </x:c>
      <x:c r="I185" s="8" t="str">
        <x:v>website</x:v>
      </x:c>
      <x:c r="J185" s="12" t="str">
        <x:v>https://cinetecanacional.gob.cl/eventos/mil-pedazos/</x:v>
      </x:c>
      <x:c r="K185" s="12" t="str">
        <x:v>https://cinetecanacional.gob.cl/eventos/mil-pedazos/#2026-08-13T14:00:00-04:00</x:v>
      </x:c>
      <x:c r="L185" s="13" t="n">
        <x:v>46245.63541221065</x:v>
      </x:c>
      <x:c r="M185" s="12" t="str">
        <x:v>mil-pedazos:sala-de-cine:2026-08-13T18:00:00.000Z</x:v>
      </x:c>
      <x:c r="N185" s="8" t="str">
        <x:f>IF(E185&gt;='Resumen'!$B$8,"Próxima","Pasada")</x:f>
        <x:v>Próxima</x:v>
      </x:c>
    </x:row>
    <x:row r="186">
      <x:c r="A186" s="12" t="str">
        <x:v>La noche de enfrente</x:v>
      </x:c>
      <x:c r="B186" s="12" t="str">
        <x:v>Sala de cine</x:v>
      </x:c>
      <x:c r="C186" s="8" t="str">
        <x:v>la-noche-de-enfrente</x:v>
      </x:c>
      <x:c r="D186" s="8" t="str">
        <x:v>sala-de-cine</x:v>
      </x:c>
      <x:c r="E186" s="9" t="n">
        <x:v>46247.5</x:v>
      </x:c>
      <x:c r="F186" s="10" t="n">
        <x:v>0.625</x:v>
      </x:c>
      <x:c r="G186" s="11" t="n">
        <x:v>46247.791666666664</x:v>
      </x:c>
      <x:c r="H186" s="8" t="str">
        <x:v>America/Santiago</x:v>
      </x:c>
      <x:c r="I186" s="8" t="str">
        <x:v>website</x:v>
      </x:c>
      <x:c r="J186" s="12" t="str">
        <x:v>https://cinetecanacional.gob.cl/eventos/la-noche-de-enfrente/</x:v>
      </x:c>
      <x:c r="K186" s="12" t="str">
        <x:v>https://cinetecanacional.gob.cl/eventos/la-noche-de-enfrente/#2026-08-13T15:00:00-04:00</x:v>
      </x:c>
      <x:c r="L186" s="13" t="n">
        <x:v>46245.63541221065</x:v>
      </x:c>
      <x:c r="M186" s="12" t="str">
        <x:v>la-noche-de-enfrente:sala-de-cine:2026-08-13T19:00:00.000Z</x:v>
      </x:c>
      <x:c r="N186" s="8" t="str">
        <x:f>IF(E186&gt;='Resumen'!$B$8,"Próxima","Pasada")</x:f>
        <x:v>Próxima</x:v>
      </x:c>
    </x:row>
    <x:row r="187">
      <x:c r="A187" s="12" t="str">
        <x:v>Petite fille</x:v>
      </x:c>
      <x:c r="B187" s="12" t="str">
        <x:v>Sala de cine</x:v>
      </x:c>
      <x:c r="C187" s="8" t="str">
        <x:v>petite-fille</x:v>
      </x:c>
      <x:c r="D187" s="8" t="str">
        <x:v>sala-de-cine</x:v>
      </x:c>
      <x:c r="E187" s="9" t="n">
        <x:v>46247.5</x:v>
      </x:c>
      <x:c r="F187" s="10" t="n">
        <x:v>0.6666666666666666</x:v>
      </x:c>
      <x:c r="G187" s="11" t="n">
        <x:v>46247.833333333336</x:v>
      </x:c>
      <x:c r="H187" s="8" t="str">
        <x:v>America/Santiago</x:v>
      </x:c>
      <x:c r="I187" s="8" t="str">
        <x:v>website</x:v>
      </x:c>
      <x:c r="J187" s="12" t="str">
        <x:v>https://cinetecanacional.gob.cl/eventos/petite-fille/</x:v>
      </x:c>
      <x:c r="K187" s="12" t="str">
        <x:v>https://cinetecanacional.gob.cl/eventos/petite-fille/#2026-08-13T16:00:00-04:00</x:v>
      </x:c>
      <x:c r="L187" s="13" t="n">
        <x:v>46245.63541221065</x:v>
      </x:c>
      <x:c r="M187" s="12" t="str">
        <x:v>petite-fille:sala-de-cine:2026-08-13T20:00:00.000Z</x:v>
      </x:c>
      <x:c r="N187" s="8" t="str">
        <x:f>IF(E187&gt;='Resumen'!$B$8,"Próxima","Pasada")</x:f>
        <x:v>Próxima</x:v>
      </x:c>
    </x:row>
    <x:row r="188">
      <x:c r="A188" s="12" t="str">
        <x:v>¡Linda quiere pollo!</x:v>
      </x:c>
      <x:c r="B188" s="12" t="str">
        <x:v>Sala Alicia Vega</x:v>
      </x:c>
      <x:c r="C188" s="8" t="str">
        <x:v>linda-quiere-pollo</x:v>
      </x:c>
      <x:c r="D188" s="8" t="str">
        <x:v>sala-alicia-vega</x:v>
      </x:c>
      <x:c r="E188" s="9" t="n">
        <x:v>46248.5</x:v>
      </x:c>
      <x:c r="F188" s="10" t="n">
        <x:v>0.5416666666666666</x:v>
      </x:c>
      <x:c r="G188" s="11" t="n">
        <x:v>46248.708333333336</x:v>
      </x:c>
      <x:c r="H188" s="8" t="str">
        <x:v>America/Santiago</x:v>
      </x:c>
      <x:c r="I188" s="8" t="str">
        <x:v>website</x:v>
      </x:c>
      <x:c r="J188" s="12" t="str">
        <x:v>https://cinetecanacional.gob.cl/eventos/linda-quiere-pollo/</x:v>
      </x:c>
      <x:c r="K188" s="12" t="str">
        <x:v>https://cinetecanacional.gob.cl/eventos/linda-quiere-pollo/#2026-08-14T13:00:00-04:00</x:v>
      </x:c>
      <x:c r="L188" s="13" t="n">
        <x:v>46245.63541221065</x:v>
      </x:c>
      <x:c r="M188" s="12" t="str">
        <x:v>linda-quiere-pollo:sala-alicia-vega:2026-08-14T17:00:00.000Z</x:v>
      </x:c>
      <x:c r="N188" s="8" t="str">
        <x:f>IF(E188&gt;='Resumen'!$B$8,"Próxima","Pasada")</x:f>
        <x:v>Próxima</x:v>
      </x:c>
    </x:row>
    <x:row r="189">
      <x:c r="A189" s="12" t="str">
        <x:v>El santo oficio</x:v>
      </x:c>
      <x:c r="B189" s="12" t="str">
        <x:v>Sala de cine</x:v>
      </x:c>
      <x:c r="C189" s="8" t="str">
        <x:v>el-santo-oficio</x:v>
      </x:c>
      <x:c r="D189" s="8" t="str">
        <x:v>sala-de-cine</x:v>
      </x:c>
      <x:c r="E189" s="9" t="n">
        <x:v>46248.5</x:v>
      </x:c>
      <x:c r="F189" s="10" t="n">
        <x:v>0.5833333333333334</x:v>
      </x:c>
      <x:c r="G189" s="11" t="n">
        <x:v>46248.75</x:v>
      </x:c>
      <x:c r="H189" s="8" t="str">
        <x:v>America/Santiago</x:v>
      </x:c>
      <x:c r="I189" s="8" t="str">
        <x:v>website</x:v>
      </x:c>
      <x:c r="J189" s="12" t="str">
        <x:v>https://cinetecanacional.gob.cl/eventos/el-santo-oficio/</x:v>
      </x:c>
      <x:c r="K189" s="12" t="str">
        <x:v>https://cinetecanacional.gob.cl/eventos/el-santo-oficio/#2026-08-14T14:00:00-04:00</x:v>
      </x:c>
      <x:c r="L189" s="13" t="n">
        <x:v>46245.63541221065</x:v>
      </x:c>
      <x:c r="M189" s="12" t="str">
        <x:v>el-santo-oficio:sala-de-cine:2026-08-14T18:00:00.000Z</x:v>
      </x:c>
      <x:c r="N189" s="8" t="str">
        <x:f>IF(E189&gt;='Resumen'!$B$8,"Próxima","Pasada")</x:f>
        <x:v>Próxima</x:v>
      </x:c>
    </x:row>
    <x:row r="190">
      <x:c r="A190" s="12" t="str">
        <x:v>La Recta Provincia</x:v>
      </x:c>
      <x:c r="B190" s="12" t="str">
        <x:v>Sala de cine</x:v>
      </x:c>
      <x:c r="C190" s="8" t="str">
        <x:v>la-recta-provincia</x:v>
      </x:c>
      <x:c r="D190" s="8" t="str">
        <x:v>sala-de-cine</x:v>
      </x:c>
      <x:c r="E190" s="9" t="n">
        <x:v>46248.5</x:v>
      </x:c>
      <x:c r="F190" s="10" t="n">
        <x:v>0.625</x:v>
      </x:c>
      <x:c r="G190" s="11" t="n">
        <x:v>46248.791666666664</x:v>
      </x:c>
      <x:c r="H190" s="8" t="str">
        <x:v>America/Santiago</x:v>
      </x:c>
      <x:c r="I190" s="8" t="str">
        <x:v>website</x:v>
      </x:c>
      <x:c r="J190" s="12" t="str">
        <x:v>https://cinetecanacional.gob.cl/eventos/la-recta-provincia/</x:v>
      </x:c>
      <x:c r="K190" s="12" t="str">
        <x:v>https://cinetecanacional.gob.cl/eventos/la-recta-provincia/#2026-08-14T15:00:00-04:00</x:v>
      </x:c>
      <x:c r="L190" s="13" t="n">
        <x:v>46245.63541221065</x:v>
      </x:c>
      <x:c r="M190" s="12" t="str">
        <x:v>la-recta-provincia:sala-de-cine:2026-08-14T19:00:00.000Z</x:v>
      </x:c>
      <x:c r="N190" s="8" t="str">
        <x:f>IF(E190&gt;='Resumen'!$B$8,"Próxima","Pasada")</x:f>
        <x:v>Próxima</x:v>
      </x:c>
    </x:row>
    <x:row r="191">
      <x:c r="A191" s="12" t="str">
        <x:v>Moscas</x:v>
      </x:c>
      <x:c r="B191" s="12" t="str">
        <x:v>Sala de cine</x:v>
      </x:c>
      <x:c r="C191" s="8" t="str">
        <x:v>moscas</x:v>
      </x:c>
      <x:c r="D191" s="8" t="str">
        <x:v>sala-de-cine</x:v>
      </x:c>
      <x:c r="E191" s="9" t="n">
        <x:v>46248.5</x:v>
      </x:c>
      <x:c r="F191" s="10" t="n">
        <x:v>0.6666666666666666</x:v>
      </x:c>
      <x:c r="G191" s="11" t="n">
        <x:v>46248.833333333336</x:v>
      </x:c>
      <x:c r="H191" s="8" t="str">
        <x:v>America/Santiago</x:v>
      </x:c>
      <x:c r="I191" s="8" t="str">
        <x:v>website</x:v>
      </x:c>
      <x:c r="J191" s="12" t="str">
        <x:v>https://cinetecanacional.gob.cl/eventos/moscas/</x:v>
      </x:c>
      <x:c r="K191" s="12" t="str">
        <x:v>https://cinetecanacional.gob.cl/eventos/moscas/#2026-08-14T16:00:00-04:00</x:v>
      </x:c>
      <x:c r="L191" s="13" t="n">
        <x:v>46245.63541221065</x:v>
      </x:c>
      <x:c r="M191" s="12" t="str">
        <x:v>moscas:sala-de-cine:2026-08-14T20:00:00.000Z</x:v>
      </x:c>
      <x:c r="N191" s="8" t="str">
        <x:f>IF(E191&gt;='Resumen'!$B$8,"Próxima","Pasada")</x:f>
        <x:v>Próxima</x:v>
      </x:c>
    </x:row>
    <x:row r="192">
      <x:c r="A192" s="12" t="str">
        <x:v>El gran viaje</x:v>
      </x:c>
      <x:c r="B192" s="12" t="str">
        <x:v>Sala de cine</x:v>
      </x:c>
      <x:c r="C192" s="8" t="str">
        <x:v>el-gran-viaje</x:v>
      </x:c>
      <x:c r="D192" s="8" t="str">
        <x:v>sala-de-cine</x:v>
      </x:c>
      <x:c r="E192" s="9" t="n">
        <x:v>46249.5</x:v>
      </x:c>
      <x:c r="F192" s="10" t="n">
        <x:v>0.4583333333333333</x:v>
      </x:c>
      <x:c r="G192" s="11" t="n">
        <x:v>46249.625</x:v>
      </x:c>
      <x:c r="H192" s="8" t="str">
        <x:v>America/Santiago</x:v>
      </x:c>
      <x:c r="I192" s="8" t="str">
        <x:v>website</x:v>
      </x:c>
      <x:c r="J192" s="12" t="str">
        <x:v>https://cinetecanacional.gob.cl/eventos/el-gran-viaje/</x:v>
      </x:c>
      <x:c r="K192" s="12" t="str">
        <x:v>https://cinetecanacional.gob.cl/eventos/el-gran-viaje/#2026-08-15T11:00:00-04:00</x:v>
      </x:c>
      <x:c r="L192" s="13" t="n">
        <x:v>46245.63541221065</x:v>
      </x:c>
      <x:c r="M192" s="12" t="str">
        <x:v>el-gran-viaje:sala-de-cine:2026-08-15T15:00:00.000Z</x:v>
      </x:c>
      <x:c r="N192" s="8" t="str">
        <x:f>IF(E192&gt;='Resumen'!$B$8,"Próxima","Pasada")</x:f>
        <x:v>Próxima</x:v>
      </x:c>
    </x:row>
    <x:row r="193">
      <x:c r="A193" s="12" t="str">
        <x:v>La Grazia</x:v>
      </x:c>
      <x:c r="B193" s="12" t="str">
        <x:v>Sala de cine</x:v>
      </x:c>
      <x:c r="C193" s="8" t="str">
        <x:v>la-grazia</x:v>
      </x:c>
      <x:c r="D193" s="8" t="str">
        <x:v>sala-de-cine</x:v>
      </x:c>
      <x:c r="E193" s="9" t="n">
        <x:v>46249.5</x:v>
      </x:c>
      <x:c r="F193" s="10" t="n">
        <x:v>0.5833333333333334</x:v>
      </x:c>
      <x:c r="G193" s="11" t="n">
        <x:v>46249.75</x:v>
      </x:c>
      <x:c r="H193" s="8" t="str">
        <x:v>America/Santiago</x:v>
      </x:c>
      <x:c r="I193" s="8" t="str">
        <x:v>website</x:v>
      </x:c>
      <x:c r="J193" s="12" t="str">
        <x:v>https://cinetecanacional.gob.cl/eventos/la-grazia/</x:v>
      </x:c>
      <x:c r="K193" s="12" t="str">
        <x:v>https://cinetecanacional.gob.cl/eventos/la-grazia/#2026-08-15T14:00:00-04:00</x:v>
      </x:c>
      <x:c r="L193" s="13" t="n">
        <x:v>46245.63541221065</x:v>
      </x:c>
      <x:c r="M193" s="12" t="str">
        <x:v>la-grazia:sala-de-cine:2026-08-15T18:00:00.000Z</x:v>
      </x:c>
      <x:c r="N193" s="8" t="str">
        <x:f>IF(E193&gt;='Resumen'!$B$8,"Próxima","Pasada")</x:f>
        <x:v>Próxima</x:v>
      </x:c>
    </x:row>
    <x:row r="194">
      <x:c r="A194" s="12" t="str">
        <x:v>ECOS DEL XINJIANG</x:v>
      </x:c>
      <x:c r="B194" s="12" t="str">
        <x:v>Sala de cine</x:v>
      </x:c>
      <x:c r="C194" s="8" t="str">
        <x:v>ecos-del-xinjiang</x:v>
      </x:c>
      <x:c r="D194" s="8" t="str">
        <x:v>sala-de-cine</x:v>
      </x:c>
      <x:c r="E194" s="9" t="n">
        <x:v>46252.5</x:v>
      </x:c>
      <x:c r="F194" s="10" t="n">
        <x:v>0.6458333333333334</x:v>
      </x:c>
      <x:c r="G194" s="11" t="n">
        <x:v>46252.8125</x:v>
      </x:c>
      <x:c r="H194" s="8" t="str">
        <x:v>America/Santiago</x:v>
      </x:c>
      <x:c r="I194" s="8" t="str">
        <x:v>website</x:v>
      </x:c>
      <x:c r="J194" s="12" t="str">
        <x:v>https://cinetecanacional.gob.cl/eventos/ecos-del-xinjiang/</x:v>
      </x:c>
      <x:c r="K194" s="12" t="str">
        <x:v>https://cinetecanacional.gob.cl/eventos/ecos-del-xinjiang/#2026-08-18T15:30:00-04:00</x:v>
      </x:c>
      <x:c r="L194" s="13" t="n">
        <x:v>46245.63541221065</x:v>
      </x:c>
      <x:c r="M194" s="12" t="str">
        <x:v>ecos-del-xinjiang:sala-de-cine:2026-08-18T19:30:00.000Z</x:v>
      </x:c>
      <x:c r="N194" s="8" t="str">
        <x:f>IF(E194&gt;='Resumen'!$B$8,"Próxima","Pasada")</x:f>
        <x:v>Próxima</x:v>
      </x:c>
    </x:row>
    <x:row r="195">
      <x:c r="A195" s="12" t="str">
        <x:v>El santo oficio</x:v>
      </x:c>
      <x:c r="B195" s="12" t="str">
        <x:v>Sala de cine</x:v>
      </x:c>
      <x:c r="C195" s="8" t="str">
        <x:v>el-santo-oficio</x:v>
      </x:c>
      <x:c r="D195" s="8" t="str">
        <x:v>sala-de-cine</x:v>
      </x:c>
      <x:c r="E195" s="9" t="n">
        <x:v>46255.5</x:v>
      </x:c>
      <x:c r="F195" s="10" t="n">
        <x:v>0.5833333333333334</x:v>
      </x:c>
      <x:c r="G195" s="11" t="n">
        <x:v>46255.75</x:v>
      </x:c>
      <x:c r="H195" s="8" t="str">
        <x:v>America/Santiago</x:v>
      </x:c>
      <x:c r="I195" s="8" t="str">
        <x:v>website</x:v>
      </x:c>
      <x:c r="J195" s="12" t="str">
        <x:v>https://cinetecanacional.gob.cl/eventos/el-santo-oficio/</x:v>
      </x:c>
      <x:c r="K195" s="12" t="str">
        <x:v>https://cinetecanacional.gob.cl/eventos/el-santo-oficio/#2026-08-21T14:00:00-04:00</x:v>
      </x:c>
      <x:c r="L195" s="13" t="n">
        <x:v>46245.63541221065</x:v>
      </x:c>
      <x:c r="M195" s="12" t="str">
        <x:v>el-santo-oficio:sala-de-cine:2026-08-21T18:00:00.000Z</x:v>
      </x:c>
      <x:c r="N195" s="8" t="str">
        <x:f>IF(E195&gt;='Resumen'!$B$8,"Próxima","Pasada")</x:f>
        <x:v>Próxima</x:v>
      </x:c>
    </x:row>
    <x:row r="196">
      <x:c r="A196" s="12" t="str">
        <x:v>Moscas</x:v>
      </x:c>
      <x:c r="B196" s="12" t="str">
        <x:v>Sala de cine</x:v>
      </x:c>
      <x:c r="C196" s="8" t="str">
        <x:v>moscas</x:v>
      </x:c>
      <x:c r="D196" s="8" t="str">
        <x:v>sala-de-cine</x:v>
      </x:c>
      <x:c r="E196" s="9" t="n">
        <x:v>46255.5</x:v>
      </x:c>
      <x:c r="F196" s="10" t="n">
        <x:v>0.6666666666666666</x:v>
      </x:c>
      <x:c r="G196" s="11" t="n">
        <x:v>46255.833333333336</x:v>
      </x:c>
      <x:c r="H196" s="8" t="str">
        <x:v>America/Santiago</x:v>
      </x:c>
      <x:c r="I196" s="8" t="str">
        <x:v>website</x:v>
      </x:c>
      <x:c r="J196" s="12" t="str">
        <x:v>https://cinetecanacional.gob.cl/eventos/moscas/</x:v>
      </x:c>
      <x:c r="K196" s="12" t="str">
        <x:v>https://cinetecanacional.gob.cl/eventos/moscas/#2026-08-21T16:00:00-04:00</x:v>
      </x:c>
      <x:c r="L196" s="13" t="n">
        <x:v>46245.63541221065</x:v>
      </x:c>
      <x:c r="M196" s="12" t="str">
        <x:v>moscas:sala-de-cine:2026-08-21T20:00:00.000Z</x:v>
      </x:c>
      <x:c r="N196" s="8" t="str">
        <x:f>IF(E196&gt;='Resumen'!$B$8,"Próxima","Pasada")</x:f>
        <x:v>Próxima</x:v>
      </x:c>
    </x:row>
    <x:row r="197">
      <x:c r="A197" s="12" t="str">
        <x:v>El gran viaje</x:v>
      </x:c>
      <x:c r="B197" s="12" t="str">
        <x:v>Sala de cine</x:v>
      </x:c>
      <x:c r="C197" s="8" t="str">
        <x:v>el-gran-viaje</x:v>
      </x:c>
      <x:c r="D197" s="8" t="str">
        <x:v>sala-de-cine</x:v>
      </x:c>
      <x:c r="E197" s="9" t="n">
        <x:v>46256.5</x:v>
      </x:c>
      <x:c r="F197" s="10" t="n">
        <x:v>0.4583333333333333</x:v>
      </x:c>
      <x:c r="G197" s="11" t="n">
        <x:v>46256.625</x:v>
      </x:c>
      <x:c r="H197" s="8" t="str">
        <x:v>America/Santiago</x:v>
      </x:c>
      <x:c r="I197" s="8" t="str">
        <x:v>website</x:v>
      </x:c>
      <x:c r="J197" s="12" t="str">
        <x:v>https://cinetecanacional.gob.cl/eventos/el-gran-viaje/</x:v>
      </x:c>
      <x:c r="K197" s="12" t="str">
        <x:v>https://cinetecanacional.gob.cl/eventos/el-gran-viaje/#2026-08-22T11:00:00-04:00</x:v>
      </x:c>
      <x:c r="L197" s="13" t="n">
        <x:v>46245.63541221065</x:v>
      </x:c>
      <x:c r="M197" s="12" t="str">
        <x:v>el-gran-viaje:sala-de-cine:2026-08-22T15:00:00.000Z</x:v>
      </x:c>
      <x:c r="N197" s="8" t="str">
        <x:f>IF(E197&gt;='Resumen'!$B$8,"Próxima","Pasada")</x:f>
        <x:v>Próxima</x:v>
      </x:c>
    </x:row>
    <x:row r="198">
      <x:c r="A198" s="12" t="str">
        <x:v>La Grazia</x:v>
      </x:c>
      <x:c r="B198" s="12" t="str">
        <x:v>Sala de cine</x:v>
      </x:c>
      <x:c r="C198" s="8" t="str">
        <x:v>la-grazia</x:v>
      </x:c>
      <x:c r="D198" s="8" t="str">
        <x:v>sala-de-cine</x:v>
      </x:c>
      <x:c r="E198" s="9" t="n">
        <x:v>46256.5</x:v>
      </x:c>
      <x:c r="F198" s="10" t="n">
        <x:v>0.5833333333333334</x:v>
      </x:c>
      <x:c r="G198" s="11" t="n">
        <x:v>46256.75</x:v>
      </x:c>
      <x:c r="H198" s="8" t="str">
        <x:v>America/Santiago</x:v>
      </x:c>
      <x:c r="I198" s="8" t="str">
        <x:v>website</x:v>
      </x:c>
      <x:c r="J198" s="12" t="str">
        <x:v>https://cinetecanacional.gob.cl/eventos/la-grazia/</x:v>
      </x:c>
      <x:c r="K198" s="12" t="str">
        <x:v>https://cinetecanacional.gob.cl/eventos/la-grazia/#2026-08-22T14:00:00-04:00</x:v>
      </x:c>
      <x:c r="L198" s="13" t="n">
        <x:v>46245.63541221065</x:v>
      </x:c>
      <x:c r="M198" s="12" t="str">
        <x:v>la-grazia:sala-de-cine:2026-08-22T18:00:00.000Z</x:v>
      </x:c>
      <x:c r="N198" s="8" t="str">
        <x:f>IF(E198&gt;='Resumen'!$B$8,"Próxima","Pasada")</x:f>
        <x:v>Próxima</x:v>
      </x:c>
    </x:row>
    <x:row r="199">
      <x:c r="A199" s="12" t="str">
        <x:v>Ŋa Hinarere (Los hijos)</x:v>
      </x:c>
      <x:c r="B199" s="12" t="str">
        <x:v>Sala de cine</x:v>
      </x:c>
      <x:c r="C199" s="8" t="str">
        <x:v>a-hinarere-los-hijos</x:v>
      </x:c>
      <x:c r="D199" s="8" t="str">
        <x:v>sala-de-cine</x:v>
      </x:c>
      <x:c r="E199" s="9" t="n">
        <x:v>46259.5</x:v>
      </x:c>
      <x:c r="F199" s="10" t="n">
        <x:v>0.5833333333333334</x:v>
      </x:c>
      <x:c r="G199" s="11" t="n">
        <x:v>46259.75</x:v>
      </x:c>
      <x:c r="H199" s="8" t="str">
        <x:v>America/Santiago</x:v>
      </x:c>
      <x:c r="I199" s="8" t="str">
        <x:v>website</x:v>
      </x:c>
      <x:c r="J199" s="12" t="str">
        <x:v>https://cinetecanacional.gob.cl/eventos/na-hinarere-los-hijos/</x:v>
      </x:c>
      <x:c r="K199" s="12" t="str">
        <x:v>https://cinetecanacional.gob.cl/eventos/na-hinarere-los-hijos/#2026-08-25T14:00:00-04:00</x:v>
      </x:c>
      <x:c r="L199" s="13" t="n">
        <x:v>46245.63541221065</x:v>
      </x:c>
      <x:c r="M199" s="12" t="str">
        <x:v>a-hinarere-los-hijos:sala-de-cine:2026-08-25T18:00:00.000Z</x:v>
      </x:c>
      <x:c r="N199" s="8" t="str">
        <x:f>IF(E199&gt;='Resumen'!$B$8,"Próxima","Pasada")</x:f>
        <x:v>Próxima</x:v>
      </x:c>
    </x:row>
    <x:row r="200">
      <x:c r="A200" s="12" t="str">
        <x:v>Alpha</x:v>
      </x:c>
      <x:c r="B200" s="12" t="str">
        <x:v>Sala de cine</x:v>
      </x:c>
      <x:c r="C200" s="8" t="str">
        <x:v>alpha</x:v>
      </x:c>
      <x:c r="D200" s="8" t="str">
        <x:v>sala-de-cine</x:v>
      </x:c>
      <x:c r="E200" s="9" t="n">
        <x:v>46259.5</x:v>
      </x:c>
      <x:c r="F200" s="10" t="n">
        <x:v>0.5833333333333334</x:v>
      </x:c>
      <x:c r="G200" s="11" t="n">
        <x:v>46259.75</x:v>
      </x:c>
      <x:c r="H200" s="8" t="str">
        <x:v>America/Santiago</x:v>
      </x:c>
      <x:c r="I200" s="8" t="str">
        <x:v>website</x:v>
      </x:c>
      <x:c r="J200" s="12" t="str">
        <x:v>https://cinetecanacional.gob.cl/eventos/alpha/</x:v>
      </x:c>
      <x:c r="K200" s="12" t="str">
        <x:v>https://cinetecanacional.gob.cl/eventos/alpha/#2026-08-25T14:00:00-04:00</x:v>
      </x:c>
      <x:c r="L200" s="13" t="n">
        <x:v>46245.63541221065</x:v>
      </x:c>
      <x:c r="M200" s="12" t="str">
        <x:v>alpha:sala-de-cine:2026-08-25T18:00:00.000Z</x:v>
      </x:c>
      <x:c r="N200" s="8" t="str">
        <x:f>IF(E200&gt;='Resumen'!$B$8,"Próxima","Pasada")</x:f>
        <x:v>Próxima</x:v>
      </x:c>
    </x:row>
    <x:row r="201">
      <x:c r="A201" s="12" t="str">
        <x:v>El Chacal de Nahueltoro</x:v>
      </x:c>
      <x:c r="B201" s="12" t="str">
        <x:v>Sala Alicia Vega</x:v>
      </x:c>
      <x:c r="C201" s="8" t="str">
        <x:v>el-chacal-de-nahueltoro</x:v>
      </x:c>
      <x:c r="D201" s="8" t="str">
        <x:v>sala-alicia-vega</x:v>
      </x:c>
      <x:c r="E201" s="9" t="n">
        <x:v>46259.5</x:v>
      </x:c>
      <x:c r="F201" s="10" t="n">
        <x:v>0.625</x:v>
      </x:c>
      <x:c r="G201" s="11" t="n">
        <x:v>46259.791666666664</x:v>
      </x:c>
      <x:c r="H201" s="8" t="str">
        <x:v>America/Santiago</x:v>
      </x:c>
      <x:c r="I201" s="8" t="str">
        <x:v>website</x:v>
      </x:c>
      <x:c r="J201" s="12" t="str">
        <x:v>https://cinetecanacional.gob.cl/eventos/el-chacal-de-nahueltoro/</x:v>
      </x:c>
      <x:c r="K201" s="12" t="str">
        <x:v>https://cinetecanacional.gob.cl/eventos/el-chacal-de-nahueltoro/#2026-08-25T15:00:00-04:00</x:v>
      </x:c>
      <x:c r="L201" s="13" t="n">
        <x:v>46245.63541221065</x:v>
      </x:c>
      <x:c r="M201" s="12" t="str">
        <x:v>el-chacal-de-nahueltoro:sala-alicia-vega:2026-08-25T19:00:00.000Z</x:v>
      </x:c>
      <x:c r="N201" s="8" t="str">
        <x:f>IF(E201&gt;='Resumen'!$B$8,"Próxima","Pasada")</x:f>
        <x:v>Próxima</x:v>
      </x:c>
    </x:row>
    <x:row r="202">
      <x:c r="A202" s="12" t="str">
        <x:v>A la sombra del sol</x:v>
      </x:c>
      <x:c r="B202" s="12" t="str">
        <x:v>Sala Alicia Vega</x:v>
      </x:c>
      <x:c r="C202" s="8" t="str">
        <x:v>a-la-sombra-del-sol</x:v>
      </x:c>
      <x:c r="D202" s="8" t="str">
        <x:v>sala-alicia-vega</x:v>
      </x:c>
      <x:c r="E202" s="9" t="n">
        <x:v>46260.5</x:v>
      </x:c>
      <x:c r="F202" s="10" t="n">
        <x:v>0.625</x:v>
      </x:c>
      <x:c r="G202" s="11" t="n">
        <x:v>46260.791666666664</x:v>
      </x:c>
      <x:c r="H202" s="8" t="str">
        <x:v>America/Santiago</x:v>
      </x:c>
      <x:c r="I202" s="8" t="str">
        <x:v>website</x:v>
      </x:c>
      <x:c r="J202" s="12" t="str">
        <x:v>https://cinetecanacional.gob.cl/eventos/a-la-sombra-del-sol/</x:v>
      </x:c>
      <x:c r="K202" s="12" t="str">
        <x:v>https://cinetecanacional.gob.cl/eventos/a-la-sombra-del-sol/#2026-08-26T15:00:00-04:00</x:v>
      </x:c>
      <x:c r="L202" s="13" t="n">
        <x:v>46245.63541221065</x:v>
      </x:c>
      <x:c r="M202" s="12" t="str">
        <x:v>a-la-sombra-del-sol:sala-alicia-vega:2026-08-26T19:00:00.000Z</x:v>
      </x:c>
      <x:c r="N202" s="8" t="str">
        <x:f>IF(E202&gt;='Resumen'!$B$8,"Próxima","Pasada")</x:f>
        <x:v>Próxima</x:v>
      </x:c>
    </x:row>
    <x:row r="203">
      <x:c r="A203" s="12" t="str">
        <x:v>Il futuro</x:v>
      </x:c>
      <x:c r="B203" s="12" t="str">
        <x:v>Sala Alicia Vega</x:v>
      </x:c>
      <x:c r="C203" s="8" t="str">
        <x:v>il-futuro</x:v>
      </x:c>
      <x:c r="D203" s="8" t="str">
        <x:v>sala-alicia-vega</x:v>
      </x:c>
      <x:c r="E203" s="9" t="n">
        <x:v>46261.5</x:v>
      </x:c>
      <x:c r="F203" s="10" t="n">
        <x:v>0.625</x:v>
      </x:c>
      <x:c r="G203" s="11" t="n">
        <x:v>46261.791666666664</x:v>
      </x:c>
      <x:c r="H203" s="8" t="str">
        <x:v>America/Santiago</x:v>
      </x:c>
      <x:c r="I203" s="8" t="str">
        <x:v>website</x:v>
      </x:c>
      <x:c r="J203" s="12" t="str">
        <x:v>https://cinetecanacional.gob.cl/eventos/il-futuro/</x:v>
      </x:c>
      <x:c r="K203" s="12" t="str">
        <x:v>https://cinetecanacional.gob.cl/eventos/il-futuro/#2026-08-27T15:00:00-04:00</x:v>
      </x:c>
      <x:c r="L203" s="13" t="n">
        <x:v>46245.63541221065</x:v>
      </x:c>
      <x:c r="M203" s="12" t="str">
        <x:v>il-futuro:sala-alicia-vega:2026-08-27T19:00:00.000Z</x:v>
      </x:c>
      <x:c r="N203" s="8" t="str">
        <x:f>IF(E203&gt;='Resumen'!$B$8,"Próxima","Pasada")</x:f>
        <x:v>Próxima</x:v>
      </x:c>
    </x:row>
    <x:row r="204">
      <x:c r="A204" s="12" t="str">
        <x:v>El gran viaje</x:v>
      </x:c>
      <x:c r="B204" s="12" t="str">
        <x:v>Sala de cine</x:v>
      </x:c>
      <x:c r="C204" s="8" t="str">
        <x:v>el-gran-viaje</x:v>
      </x:c>
      <x:c r="D204" s="8" t="str">
        <x:v>sala-de-cine</x:v>
      </x:c>
      <x:c r="E204" s="9" t="n">
        <x:v>46263.5</x:v>
      </x:c>
      <x:c r="F204" s="10" t="n">
        <x:v>0.4583333333333333</x:v>
      </x:c>
      <x:c r="G204" s="11" t="n">
        <x:v>46263.625</x:v>
      </x:c>
      <x:c r="H204" s="8" t="str">
        <x:v>America/Santiago</x:v>
      </x:c>
      <x:c r="I204" s="8" t="str">
        <x:v>website</x:v>
      </x:c>
      <x:c r="J204" s="12" t="str">
        <x:v>https://cinetecanacional.gob.cl/eventos/el-gran-viaje/</x:v>
      </x:c>
      <x:c r="K204" s="12" t="str">
        <x:v>https://cinetecanacional.gob.cl/eventos/el-gran-viaje/#2026-08-29T11:00:00-04:00</x:v>
      </x:c>
      <x:c r="L204" s="13" t="n">
        <x:v>46245.63541221065</x:v>
      </x:c>
      <x:c r="M204" s="12" t="str">
        <x:v>el-gran-viaje:sala-de-cine:2026-08-29T15:00:00.000Z</x:v>
      </x:c>
      <x:c r="N204" s="8" t="str">
        <x:f>IF(E204&gt;='Resumen'!$B$8,"Próxima","Pasada")</x:f>
        <x:v>Próxima</x:v>
      </x:c>
    </x:row>
    <x:row r="205">
      <x:c r="A205" s="12" t="str">
        <x:v>Alpha</x:v>
      </x:c>
      <x:c r="B205" s="12" t="str">
        <x:v>Sala de cine</x:v>
      </x:c>
      <x:c r="C205" s="8" t="str">
        <x:v>alpha</x:v>
      </x:c>
      <x:c r="D205" s="8" t="str">
        <x:v>sala-de-cine</x:v>
      </x:c>
      <x:c r="E205" s="9" t="n">
        <x:v>46263.5</x:v>
      </x:c>
      <x:c r="F205" s="10" t="n">
        <x:v>0.5833333333333334</x:v>
      </x:c>
      <x:c r="G205" s="11" t="n">
        <x:v>46263.75</x:v>
      </x:c>
      <x:c r="H205" s="8" t="str">
        <x:v>America/Santiago</x:v>
      </x:c>
      <x:c r="I205" s="8" t="str">
        <x:v>website</x:v>
      </x:c>
      <x:c r="J205" s="12" t="str">
        <x:v>https://cinetecanacional.gob.cl/eventos/alpha/</x:v>
      </x:c>
      <x:c r="K205" s="12" t="str">
        <x:v>https://cinetecanacional.gob.cl/eventos/alpha/#2026-08-29T14:00:00-04:00</x:v>
      </x:c>
      <x:c r="L205" s="13" t="n">
        <x:v>46245.63541221065</x:v>
      </x:c>
      <x:c r="M205" s="12" t="str">
        <x:v>alpha:sala-de-cine:2026-08-29T18:00:00.000Z</x:v>
      </x:c>
      <x:c r="N205" s="8" t="str">
        <x:f>IF(E205&gt;='Resumen'!$B$8,"Próxima","Pasada")</x:f>
        <x:v>Próxima</x:v>
      </x:c>
    </x:row>
    <x:row r="206">
      <x:c r="A206" s="12" t="str">
        <x:v>Dumbo</x:v>
      </x:c>
      <x:c r="B206" s="12" t="str">
        <x:v>Duoc UC Viña Del Mar, Viña del Mar</x:v>
      </x:c>
      <x:c r="C206" s="8" t="str">
        <x:v>dumbo</x:v>
      </x:c>
      <x:c r="D206" s="8" t="str">
        <x:v>duoc-uc-vina-del-mar-vina-del-mar</x:v>
      </x:c>
      <x:c r="E206" s="9" t="n">
        <x:v>46245.5</x:v>
      </x:c>
      <x:c r="F206" s="10" t="n">
        <x:v>0.625</x:v>
      </x:c>
      <x:c r="G206" s="11" t="n">
        <x:v>46245.791666666664</x:v>
      </x:c>
      <x:c r="H206" s="8" t="str">
        <x:v>America/Santiago</x:v>
      </x:c>
      <x:c r="I206" s="8" t="str">
        <x:v>api</x:v>
      </x:c>
      <x:c r="J206" s="12" t="str">
        <x:v>https://luma.com/dumbovinadelmar</x:v>
      </x:c>
      <x:c r="K206" s="12" t="str">
        <x:v>evt-Ic7LsryH2MHezh7</x:v>
      </x:c>
      <x:c r="L206" s="13" t="n">
        <x:v>46245.63542770833</x:v>
      </x:c>
      <x:c r="M206" s="12" t="str">
        <x:v>dumbo:duoc-uc-vina-del-mar-vina-del-mar:2026-08-11T19:00:00.000Z</x:v>
      </x:c>
      <x:c r="N206" s="8" t="str">
        <x:f>IF(E206&gt;='Resumen'!$B$8,"Próxima","Pasada")</x:f>
        <x:v>Próxima</x:v>
      </x:c>
    </x:row>
    <x:row r="207">
      <x:c r="A207" s="12" t="str">
        <x:v>Dumbo</x:v>
      </x:c>
      <x:c r="B207" s="12" t="str">
        <x:v>Duoc UC - Sede Padre Alonso de Ovalle, Santiago</x:v>
      </x:c>
      <x:c r="C207" s="8" t="str">
        <x:v>dumbo</x:v>
      </x:c>
      <x:c r="D207" s="8" t="str">
        <x:v>duoc-uc-sede-padre-alonso-de-ovalle-santiago</x:v>
      </x:c>
      <x:c r="E207" s="9" t="n">
        <x:v>46245.5</x:v>
      </x:c>
      <x:c r="F207" s="10" t="n">
        <x:v>0.6666666666666666</x:v>
      </x:c>
      <x:c r="G207" s="11" t="n">
        <x:v>46245.833333333336</x:v>
      </x:c>
      <x:c r="H207" s="8" t="str">
        <x:v>America/Santiago</x:v>
      </x:c>
      <x:c r="I207" s="8" t="str">
        <x:v>api</x:v>
      </x:c>
      <x:c r="J207" s="12" t="str">
        <x:v>https://luma.com/dumbopadrealonsodeovalle</x:v>
      </x:c>
      <x:c r="K207" s="12" t="str">
        <x:v>evt-0D9vbLIGbaSO658</x:v>
      </x:c>
      <x:c r="L207" s="13" t="n">
        <x:v>46245.63542770833</x:v>
      </x:c>
      <x:c r="M207" s="12" t="str">
        <x:v>dumbo:duoc-uc-sede-padre-alonso-de-ovalle-santiago:2026-08-11T20:00:00.000Z</x:v>
      </x:c>
      <x:c r="N207" s="8" t="str">
        <x:f>IF(E207&gt;='Resumen'!$B$8,"Próxima","Pasada")</x:f>
        <x:v>Próxima</x:v>
      </x:c>
    </x:row>
    <x:row r="208">
      <x:c r="A208" s="12" t="str">
        <x:v>Dumbo</x:v>
      </x:c>
      <x:c r="B208" s="12" t="str">
        <x:v>Duoc UC: Sede Alameda, Santiago</x:v>
      </x:c>
      <x:c r="C208" s="8" t="str">
        <x:v>dumbo</x:v>
      </x:c>
      <x:c r="D208" s="8" t="str">
        <x:v>duoc-uc-sede-alameda-santiago</x:v>
      </x:c>
      <x:c r="E208" s="9" t="n">
        <x:v>46246.5</x:v>
      </x:c>
      <x:c r="F208" s="10" t="n">
        <x:v>0.75</x:v>
      </x:c>
      <x:c r="G208" s="11" t="n">
        <x:v>46246.916666666664</x:v>
      </x:c>
      <x:c r="H208" s="8" t="str">
        <x:v>America/Santiago</x:v>
      </x:c>
      <x:c r="I208" s="8" t="str">
        <x:v>api</x:v>
      </x:c>
      <x:c r="J208" s="12" t="str">
        <x:v>https://luma.com/dumboalameda</x:v>
      </x:c>
      <x:c r="K208" s="12" t="str">
        <x:v>evt-SHWKFE4n3FJwSt0</x:v>
      </x:c>
      <x:c r="L208" s="13" t="n">
        <x:v>46245.63542770833</x:v>
      </x:c>
      <x:c r="M208" s="12" t="str">
        <x:v>dumbo:duoc-uc-sede-alameda-santiago:2026-08-12T22:00:00.000Z</x:v>
      </x:c>
      <x:c r="N208" s="8" t="str">
        <x:f>IF(E208&gt;='Resumen'!$B$8,"Próxima","Pasada")</x:f>
        <x:v>Próxima</x:v>
      </x:c>
    </x:row>
    <x:row r="209">
      <x:c r="A209" s="12" t="str">
        <x:v>Dumbo</x:v>
      </x:c>
      <x:c r="B209" s="12" t="str">
        <x:v>Duoc UC: Antonio Varas, Providencia</x:v>
      </x:c>
      <x:c r="C209" s="8" t="str">
        <x:v>dumbo</x:v>
      </x:c>
      <x:c r="D209" s="8" t="str">
        <x:v>duoc-uc-antonio-varas-providencia</x:v>
      </x:c>
      <x:c r="E209" s="9" t="n">
        <x:v>46247.5</x:v>
      </x:c>
      <x:c r="F209" s="10" t="n">
        <x:v>0.75</x:v>
      </x:c>
      <x:c r="G209" s="11" t="n">
        <x:v>46247.916666666664</x:v>
      </x:c>
      <x:c r="H209" s="8" t="str">
        <x:v>America/Santiago</x:v>
      </x:c>
      <x:c r="I209" s="8" t="str">
        <x:v>api</x:v>
      </x:c>
      <x:c r="J209" s="12" t="str">
        <x:v>https://luma.com/dumboantoniovaras</x:v>
      </x:c>
      <x:c r="K209" s="12" t="str">
        <x:v>evt-XWi4B7H8MpLWNpm</x:v>
      </x:c>
      <x:c r="L209" s="13" t="n">
        <x:v>46245.63542770833</x:v>
      </x:c>
      <x:c r="M209" s="12" t="str">
        <x:v>dumbo:duoc-uc-antonio-varas-providencia:2026-08-13T22:00:00.000Z</x:v>
      </x:c>
      <x:c r="N209" s="8" t="str">
        <x:f>IF(E209&gt;='Resumen'!$B$8,"Próxima","Pasada")</x:f>
        <x:v>Próxima</x:v>
      </x:c>
    </x:row>
    <x:row r="210">
      <x:c r="A210" s="12" t="str">
        <x:v>Dumbo</x:v>
      </x:c>
      <x:c r="B210" s="12" t="str">
        <x:v>Duoc UC: Sede Puente Alto, Puente Alto</x:v>
      </x:c>
      <x:c r="C210" s="8" t="str">
        <x:v>dumbo</x:v>
      </x:c>
      <x:c r="D210" s="8" t="str">
        <x:v>duoc-uc-sede-puente-alto-puente-alto</x:v>
      </x:c>
      <x:c r="E210" s="9" t="n">
        <x:v>46247.5</x:v>
      </x:c>
      <x:c r="F210" s="10" t="n">
        <x:v>0.75</x:v>
      </x:c>
      <x:c r="G210" s="11" t="n">
        <x:v>46247.916666666664</x:v>
      </x:c>
      <x:c r="H210" s="8" t="str">
        <x:v>America/Santiago</x:v>
      </x:c>
      <x:c r="I210" s="8" t="str">
        <x:v>api</x:v>
      </x:c>
      <x:c r="J210" s="12" t="str">
        <x:v>https://luma.com/dumbopuentealto</x:v>
      </x:c>
      <x:c r="K210" s="12" t="str">
        <x:v>evt-QXEe7V2by9buPmR</x:v>
      </x:c>
      <x:c r="L210" s="13" t="n">
        <x:v>46245.63542770833</x:v>
      </x:c>
      <x:c r="M210" s="12" t="str">
        <x:v>dumbo:duoc-uc-sede-puente-alto-puente-alto:2026-08-13T22:00:00.000Z</x:v>
      </x:c>
      <x:c r="N210" s="8" t="str">
        <x:f>IF(E210&gt;='Resumen'!$B$8,"Próxima","Pasada")</x:f>
        <x:v>Próxima</x:v>
      </x:c>
    </x:row>
    <x:row r="211">
      <x:c r="A211" s="12" t="str">
        <x:v>Dumbo</x:v>
      </x:c>
      <x:c r="B211" s="12" t="str">
        <x:v>Centro de extensión Duoc UC edificio Cousiño, Valparaíso</x:v>
      </x:c>
      <x:c r="C211" s="8" t="str">
        <x:v>dumbo</x:v>
      </x:c>
      <x:c r="D211" s="8" t="str">
        <x:v>centro-de-extension-duoc-uc-edificio-cousino-valparaiso</x:v>
      </x:c>
      <x:c r="E211" s="9" t="n">
        <x:v>46247.5</x:v>
      </x:c>
      <x:c r="F211" s="10" t="n">
        <x:v>0.7916666666666666</x:v>
      </x:c>
      <x:c r="G211" s="11" t="n">
        <x:v>46247.958333333336</x:v>
      </x:c>
      <x:c r="H211" s="8" t="str">
        <x:v>America/Santiago</x:v>
      </x:c>
      <x:c r="I211" s="8" t="str">
        <x:v>api</x:v>
      </x:c>
      <x:c r="J211" s="12" t="str">
        <x:v>https://luma.com/dumbocousino</x:v>
      </x:c>
      <x:c r="K211" s="12" t="str">
        <x:v>evt-ZZQmiIkb82K1std</x:v>
      </x:c>
      <x:c r="L211" s="13" t="n">
        <x:v>46245.63542770833</x:v>
      </x:c>
      <x:c r="M211" s="12" t="str">
        <x:v>dumbo:centro-de-extension-duoc-uc-edificio-cousino-valparaiso:2026-08-13T23:00:00.000Z</x:v>
      </x:c>
      <x:c r="N211" s="8" t="str">
        <x:f>IF(E211&gt;='Resumen'!$B$8,"Próxima","Pasada")</x:f>
        <x:v>Próxima</x:v>
      </x:c>
    </x:row>
    <x:row r="212">
      <x:c r="A212" s="12" t="str">
        <x:v>Dumbo</x:v>
      </x:c>
      <x:c r="B212" s="12" t="str">
        <x:v>DuocUC Sede Puerto Montt, Puerto Montt</x:v>
      </x:c>
      <x:c r="C212" s="8" t="str">
        <x:v>dumbo</x:v>
      </x:c>
      <x:c r="D212" s="8" t="str">
        <x:v>duocuc-sede-puerto-montt-puerto-montt</x:v>
      </x:c>
      <x:c r="E212" s="9" t="n">
        <x:v>46248.5</x:v>
      </x:c>
      <x:c r="F212" s="10" t="n">
        <x:v>0.6354166666666666</x:v>
      </x:c>
      <x:c r="G212" s="11" t="n">
        <x:v>46248.802083333336</x:v>
      </x:c>
      <x:c r="H212" s="8" t="str">
        <x:v>America/Santiago</x:v>
      </x:c>
      <x:c r="I212" s="8" t="str">
        <x:v>api</x:v>
      </x:c>
      <x:c r="J212" s="12" t="str">
        <x:v>https://luma.com/dumbopuertomontt</x:v>
      </x:c>
      <x:c r="K212" s="12" t="str">
        <x:v>evt-qLjUboFaFmjmp2g</x:v>
      </x:c>
      <x:c r="L212" s="13" t="n">
        <x:v>46245.63542770833</x:v>
      </x:c>
      <x:c r="M212" s="12" t="str">
        <x:v>dumbo:duocuc-sede-puerto-montt-puerto-montt:2026-08-14T19:15:00.000Z</x:v>
      </x:c>
      <x:c r="N212" s="8" t="str">
        <x:f>IF(E212&gt;='Resumen'!$B$8,"Próxima","Pasada")</x:f>
        <x:v>Próxima</x:v>
      </x:c>
    </x:row>
    <x:row r="213">
      <x:c r="A213" s="12" t="str">
        <x:v>Dumbo</x:v>
      </x:c>
      <x:c r="B213" s="12" t="str">
        <x:v>Duoc UC - Sede San Bernardo, San Bernardo</x:v>
      </x:c>
      <x:c r="C213" s="8" t="str">
        <x:v>dumbo</x:v>
      </x:c>
      <x:c r="D213" s="8" t="str">
        <x:v>duoc-uc-sede-san-bernardo-san-bernardo</x:v>
      </x:c>
      <x:c r="E213" s="9" t="n">
        <x:v>46248.5</x:v>
      </x:c>
      <x:c r="F213" s="10" t="n">
        <x:v>0.7083333333333334</x:v>
      </x:c>
      <x:c r="G213" s="11" t="n">
        <x:v>46248.875</x:v>
      </x:c>
      <x:c r="H213" s="8" t="str">
        <x:v>America/Santiago</x:v>
      </x:c>
      <x:c r="I213" s="8" t="str">
        <x:v>api</x:v>
      </x:c>
      <x:c r="J213" s="12" t="str">
        <x:v>https://luma.com/dumbosanbernardo</x:v>
      </x:c>
      <x:c r="K213" s="12" t="str">
        <x:v>evt-iURUJrrExexEJQt</x:v>
      </x:c>
      <x:c r="L213" s="13" t="n">
        <x:v>46245.63542770833</x:v>
      </x:c>
      <x:c r="M213" s="12" t="str">
        <x:v>dumbo:duoc-uc-sede-san-bernardo-san-bernardo:2026-08-14T21:00:00.000Z</x:v>
      </x:c>
      <x:c r="N213" s="8" t="str">
        <x:f>IF(E213&gt;='Resumen'!$B$8,"Próxima","Pasada")</x:f>
        <x:v>Próxima</x:v>
      </x:c>
    </x:row>
    <x:row r="214">
      <x:c r="A214" s="12" t="str">
        <x:v>Dumbo</x:v>
      </x:c>
      <x:c r="B214" s="12" t="str">
        <x:v>Duoc UC: sede Maipu, Maipú</x:v>
      </x:c>
      <x:c r="C214" s="8" t="str">
        <x:v>dumbo</x:v>
      </x:c>
      <x:c r="D214" s="8" t="str">
        <x:v>duoc-uc-sede-maipu-maipu</x:v>
      </x:c>
      <x:c r="E214" s="9" t="n">
        <x:v>46248.5</x:v>
      </x:c>
      <x:c r="F214" s="10" t="n">
        <x:v>0.75</x:v>
      </x:c>
      <x:c r="G214" s="11" t="n">
        <x:v>46248.916666666664</x:v>
      </x:c>
      <x:c r="H214" s="8" t="str">
        <x:v>America/Santiago</x:v>
      </x:c>
      <x:c r="I214" s="8" t="str">
        <x:v>api</x:v>
      </x:c>
      <x:c r="J214" s="12" t="str">
        <x:v>https://luma.com/dumbomaipu</x:v>
      </x:c>
      <x:c r="K214" s="12" t="str">
        <x:v>evt-1NvhV3YeB2wnVar</x:v>
      </x:c>
      <x:c r="L214" s="13" t="n">
        <x:v>46245.63542770833</x:v>
      </x:c>
      <x:c r="M214" s="12" t="str">
        <x:v>dumbo:duoc-uc-sede-maipu-maipu:2026-08-14T22:00:00.000Z</x:v>
      </x:c>
      <x:c r="N214" s="8" t="str">
        <x:f>IF(E214&gt;='Resumen'!$B$8,"Próxima","Pasada")</x:f>
        <x:v>Próxima</x:v>
      </x:c>
    </x:row>
    <x:row r="215">
      <x:c r="A215" s="12" t="str">
        <x:v>Wall-E</x:v>
      </x:c>
      <x:c r="B215" s="12" t="str">
        <x:v>DuocUC Sede Puerto Montt, Puerto Montt</x:v>
      </x:c>
      <x:c r="C215" s="8" t="str">
        <x:v>wall-e</x:v>
      </x:c>
      <x:c r="D215" s="8" t="str">
        <x:v>duocuc-sede-puerto-montt-puerto-montt</x:v>
      </x:c>
      <x:c r="E215" s="9" t="n">
        <x:v>46251.5</x:v>
      </x:c>
      <x:c r="F215" s="10" t="n">
        <x:v>0.6354166666666666</x:v>
      </x:c>
      <x:c r="G215" s="11" t="n">
        <x:v>46251.802083333336</x:v>
      </x:c>
      <x:c r="H215" s="8" t="str">
        <x:v>America/Santiago</x:v>
      </x:c>
      <x:c r="I215" s="8" t="str">
        <x:v>api</x:v>
      </x:c>
      <x:c r="J215" s="12" t="str">
        <x:v>https://luma.com/wallepuertomontt</x:v>
      </x:c>
      <x:c r="K215" s="12" t="str">
        <x:v>evt-ZD4A5GK8pk6pznP</x:v>
      </x:c>
      <x:c r="L215" s="13" t="n">
        <x:v>46245.63542770833</x:v>
      </x:c>
      <x:c r="M215" s="12" t="str">
        <x:v>wall-e:duocuc-sede-puerto-montt-puerto-montt:2026-08-17T19:15:00.000Z</x:v>
      </x:c>
      <x:c r="N215" s="8" t="str">
        <x:f>IF(E215&gt;='Resumen'!$B$8,"Próxima","Pasada")</x:f>
        <x:v>Próxima</x:v>
      </x:c>
    </x:row>
    <x:row r="216">
      <x:c r="A216" s="12" t="str">
        <x:v>Wall-E</x:v>
      </x:c>
      <x:c r="B216" s="12" t="str">
        <x:v>Duoc UC: Sede San Joaquín, San Joaquín</x:v>
      </x:c>
      <x:c r="C216" s="8" t="str">
        <x:v>wall-e</x:v>
      </x:c>
      <x:c r="D216" s="8" t="str">
        <x:v>duoc-uc-sede-san-joaquin-san-joaquin</x:v>
      </x:c>
      <x:c r="E216" s="9" t="n">
        <x:v>46251.5</x:v>
      </x:c>
      <x:c r="F216" s="10" t="n">
        <x:v>0.7083333333333334</x:v>
      </x:c>
      <x:c r="G216" s="11" t="n">
        <x:v>46251.875</x:v>
      </x:c>
      <x:c r="H216" s="8" t="str">
        <x:v>America/Santiago</x:v>
      </x:c>
      <x:c r="I216" s="8" t="str">
        <x:v>api</x:v>
      </x:c>
      <x:c r="J216" s="12" t="str">
        <x:v>https://luma.com/wallesanjoaquin</x:v>
      </x:c>
      <x:c r="K216" s="12" t="str">
        <x:v>evt-p9mjKLi2qq04UVm</x:v>
      </x:c>
      <x:c r="L216" s="13" t="n">
        <x:v>46245.63542770833</x:v>
      </x:c>
      <x:c r="M216" s="12" t="str">
        <x:v>wall-e:duoc-uc-sede-san-joaquin-san-joaquin:2026-08-17T21:00:00.000Z</x:v>
      </x:c>
      <x:c r="N216" s="8" t="str">
        <x:f>IF(E216&gt;='Resumen'!$B$8,"Próxima","Pasada")</x:f>
        <x:v>Próxima</x:v>
      </x:c>
    </x:row>
    <x:row r="217">
      <x:c r="A217" s="12" t="str">
        <x:v>Wall-E</x:v>
      </x:c>
      <x:c r="B217" s="12" t="str">
        <x:v>Duoc UC Viña Del Mar, Viña del Mar</x:v>
      </x:c>
      <x:c r="C217" s="8" t="str">
        <x:v>wall-e</x:v>
      </x:c>
      <x:c r="D217" s="8" t="str">
        <x:v>duoc-uc-vina-del-mar-vina-del-mar</x:v>
      </x:c>
      <x:c r="E217" s="9" t="n">
        <x:v>46254.5</x:v>
      </x:c>
      <x:c r="F217" s="10" t="n">
        <x:v>0.6666666666666666</x:v>
      </x:c>
      <x:c r="G217" s="11" t="n">
        <x:v>46254.833333333336</x:v>
      </x:c>
      <x:c r="H217" s="8" t="str">
        <x:v>America/Santiago</x:v>
      </x:c>
      <x:c r="I217" s="8" t="str">
        <x:v>api</x:v>
      </x:c>
      <x:c r="J217" s="12" t="str">
        <x:v>https://luma.com/wallevinadelmar</x:v>
      </x:c>
      <x:c r="K217" s="12" t="str">
        <x:v>evt-ZQp33JMib7QWSMf</x:v>
      </x:c>
      <x:c r="L217" s="13" t="n">
        <x:v>46245.63542770833</x:v>
      </x:c>
      <x:c r="M217" s="12" t="str">
        <x:v>wall-e:duoc-uc-vina-del-mar-vina-del-mar:2026-08-20T20:00:00.000Z</x:v>
      </x:c>
      <x:c r="N217" s="8" t="str">
        <x:f>IF(E217&gt;='Resumen'!$B$8,"Próxima","Pasada")</x:f>
        <x:v>Próxima</x:v>
      </x:c>
    </x:row>
    <x:row r="218">
      <x:c r="A218" s="12" t="str">
        <x:v>Wall-E</x:v>
      </x:c>
      <x:c r="B218" s="12" t="str">
        <x:v>Duoc UC: Sede Puente Alto, Puente Alto</x:v>
      </x:c>
      <x:c r="C218" s="8" t="str">
        <x:v>wall-e</x:v>
      </x:c>
      <x:c r="D218" s="8" t="str">
        <x:v>duoc-uc-sede-puente-alto-puente-alto</x:v>
      </x:c>
      <x:c r="E218" s="9" t="n">
        <x:v>46254.5</x:v>
      </x:c>
      <x:c r="F218" s="10" t="n">
        <x:v>0.75</x:v>
      </x:c>
      <x:c r="G218" s="11" t="n">
        <x:v>46254.916666666664</x:v>
      </x:c>
      <x:c r="H218" s="8" t="str">
        <x:v>America/Santiago</x:v>
      </x:c>
      <x:c r="I218" s="8" t="str">
        <x:v>api</x:v>
      </x:c>
      <x:c r="J218" s="12" t="str">
        <x:v>https://luma.com/wallepuentealto</x:v>
      </x:c>
      <x:c r="K218" s="12" t="str">
        <x:v>evt-imotPEFSBrR7EMv</x:v>
      </x:c>
      <x:c r="L218" s="13" t="n">
        <x:v>46245.63542770833</x:v>
      </x:c>
      <x:c r="M218" s="12" t="str">
        <x:v>wall-e:duoc-uc-sede-puente-alto-puente-alto:2026-08-20T22:00:00.000Z</x:v>
      </x:c>
      <x:c r="N218" s="8" t="str">
        <x:f>IF(E218&gt;='Resumen'!$B$8,"Próxima","Pasada")</x:f>
        <x:v>Próxima</x:v>
      </x:c>
    </x:row>
    <x:row r="219">
      <x:c r="A219" s="12" t="str">
        <x:v>Wall-E</x:v>
      </x:c>
      <x:c r="B219" s="12" t="str">
        <x:v>Duoc UC: Antonio Varas, Providencia</x:v>
      </x:c>
      <x:c r="C219" s="8" t="str">
        <x:v>wall-e</x:v>
      </x:c>
      <x:c r="D219" s="8" t="str">
        <x:v>duoc-uc-antonio-varas-providencia</x:v>
      </x:c>
      <x:c r="E219" s="9" t="n">
        <x:v>46254.5</x:v>
      </x:c>
      <x:c r="F219" s="10" t="n">
        <x:v>0.75</x:v>
      </x:c>
      <x:c r="G219" s="11" t="n">
        <x:v>46254.916666666664</x:v>
      </x:c>
      <x:c r="H219" s="8" t="str">
        <x:v>America/Santiago</x:v>
      </x:c>
      <x:c r="I219" s="8" t="str">
        <x:v>api</x:v>
      </x:c>
      <x:c r="J219" s="12" t="str">
        <x:v>https://luma.com/walleantoniovaras</x:v>
      </x:c>
      <x:c r="K219" s="12" t="str">
        <x:v>evt-y5hEuFOBfe0KCY7</x:v>
      </x:c>
      <x:c r="L219" s="13" t="n">
        <x:v>46245.63542770833</x:v>
      </x:c>
      <x:c r="M219" s="12" t="str">
        <x:v>wall-e:duoc-uc-antonio-varas-providencia:2026-08-20T22:00:00.000Z</x:v>
      </x:c>
      <x:c r="N219" s="8" t="str">
        <x:f>IF(E219&gt;='Resumen'!$B$8,"Próxima","Pasada")</x:f>
        <x:v>Próxima</x:v>
      </x:c>
    </x:row>
    <x:row r="220">
      <x:c r="A220" s="12" t="str">
        <x:v>Wall-E</x:v>
      </x:c>
      <x:c r="B220" s="12" t="str">
        <x:v>Duoc UC - Sede San Bernardo, San Bernardo</x:v>
      </x:c>
      <x:c r="C220" s="8" t="str">
        <x:v>wall-e</x:v>
      </x:c>
      <x:c r="D220" s="8" t="str">
        <x:v>duoc-uc-sede-san-bernardo-san-bernardo</x:v>
      </x:c>
      <x:c r="E220" s="9" t="n">
        <x:v>46255.5</x:v>
      </x:c>
      <x:c r="F220" s="10" t="n">
        <x:v>0.7083333333333334</x:v>
      </x:c>
      <x:c r="G220" s="11" t="n">
        <x:v>46255.875</x:v>
      </x:c>
      <x:c r="H220" s="8" t="str">
        <x:v>America/Santiago</x:v>
      </x:c>
      <x:c r="I220" s="8" t="str">
        <x:v>api</x:v>
      </x:c>
      <x:c r="J220" s="12" t="str">
        <x:v>https://luma.com/wallesanbernardo</x:v>
      </x:c>
      <x:c r="K220" s="12" t="str">
        <x:v>evt-faDV0TcFAF7a8N7</x:v>
      </x:c>
      <x:c r="L220" s="13" t="n">
        <x:v>46245.63542770833</x:v>
      </x:c>
      <x:c r="M220" s="12" t="str">
        <x:v>wall-e:duoc-uc-sede-san-bernardo-san-bernardo:2026-08-21T21:00:00.000Z</x:v>
      </x:c>
      <x:c r="N220" s="8" t="str">
        <x:f>IF(E220&gt;='Resumen'!$B$8,"Próxima","Pasada")</x:f>
        <x:v>Próxima</x:v>
      </x:c>
    </x:row>
    <x:row r="221">
      <x:c r="A221" s="12" t="str">
        <x:v>Wall-E</x:v>
      </x:c>
      <x:c r="B221" s="12" t="str">
        <x:v>Centro de extensión Duoc UC edificio Cousiño, Valparaíso</x:v>
      </x:c>
      <x:c r="C221" s="8" t="str">
        <x:v>wall-e</x:v>
      </x:c>
      <x:c r="D221" s="8" t="str">
        <x:v>centro-de-extension-duoc-uc-edificio-cousino-valparaiso</x:v>
      </x:c>
      <x:c r="E221" s="9" t="n">
        <x:v>46255.5</x:v>
      </x:c>
      <x:c r="F221" s="10" t="n">
        <x:v>0.7916666666666666</x:v>
      </x:c>
      <x:c r="G221" s="11" t="n">
        <x:v>46255.958333333336</x:v>
      </x:c>
      <x:c r="H221" s="8" t="str">
        <x:v>America/Santiago</x:v>
      </x:c>
      <x:c r="I221" s="8" t="str">
        <x:v>api</x:v>
      </x:c>
      <x:c r="J221" s="12" t="str">
        <x:v>https://luma.com/wallecousino</x:v>
      </x:c>
      <x:c r="K221" s="12" t="str">
        <x:v>evt-AXsOScwGYBRLtMc</x:v>
      </x:c>
      <x:c r="L221" s="13" t="n">
        <x:v>46245.63542770833</x:v>
      </x:c>
      <x:c r="M221" s="12" t="str">
        <x:v>wall-e:centro-de-extension-duoc-uc-edificio-cousino-valparaiso:2026-08-21T23:00:00.000Z</x:v>
      </x:c>
      <x:c r="N221" s="8" t="str">
        <x:f>IF(E221&gt;='Resumen'!$B$8,"Próxima","Pasada")</x:f>
        <x:v>Próxima</x:v>
      </x:c>
    </x:row>
    <x:row r="222">
      <x:c r="A222" s="12" t="str">
        <x:v>Wall-E</x:v>
      </x:c>
      <x:c r="B222" s="12" t="str">
        <x:v>Duoc UC: sede Maipu, Maipú</x:v>
      </x:c>
      <x:c r="C222" s="8" t="str">
        <x:v>wall-e</x:v>
      </x:c>
      <x:c r="D222" s="8" t="str">
        <x:v>duoc-uc-sede-maipu-maipu</x:v>
      </x:c>
      <x:c r="E222" s="9" t="n">
        <x:v>46256.5</x:v>
      </x:c>
      <x:c r="F222" s="10" t="n">
        <x:v>0.4583333333333333</x:v>
      </x:c>
      <x:c r="G222" s="11" t="n">
        <x:v>46256.625</x:v>
      </x:c>
      <x:c r="H222" s="8" t="str">
        <x:v>America/Santiago</x:v>
      </x:c>
      <x:c r="I222" s="8" t="str">
        <x:v>api</x:v>
      </x:c>
      <x:c r="J222" s="12" t="str">
        <x:v>https://luma.com/wallemaipu</x:v>
      </x:c>
      <x:c r="K222" s="12" t="str">
        <x:v>evt-yNkOE3NmFMrw3E9</x:v>
      </x:c>
      <x:c r="L222" s="13" t="n">
        <x:v>46245.63542770833</x:v>
      </x:c>
      <x:c r="M222" s="12" t="str">
        <x:v>wall-e:duoc-uc-sede-maipu-maipu:2026-08-22T15:00:00.000Z</x:v>
      </x:c>
      <x:c r="N222" s="8" t="str">
        <x:f>IF(E222&gt;='Resumen'!$B$8,"Próxima","Pasada")</x:f>
        <x:v>Próxima</x:v>
      </x:c>
    </x:row>
    <x:row r="223">
      <x:c r="A223" s="12" t="str">
        <x:v>Wall-E</x:v>
      </x:c>
      <x:c r="B223" s="12" t="str">
        <x:v>Duoc UC: Sede San Andrés De Concepción, Concepción</x:v>
      </x:c>
      <x:c r="C223" s="8" t="str">
        <x:v>wall-e</x:v>
      </x:c>
      <x:c r="D223" s="8" t="str">
        <x:v>duoc-uc-sede-san-andres-de-concepcion-concepcion</x:v>
      </x:c>
      <x:c r="E223" s="9" t="n">
        <x:v>46256.5</x:v>
      </x:c>
      <x:c r="F223" s="10" t="n">
        <x:v>0.4583333333333333</x:v>
      </x:c>
      <x:c r="G223" s="11" t="n">
        <x:v>46256.625</x:v>
      </x:c>
      <x:c r="H223" s="8" t="str">
        <x:v>America/Santiago</x:v>
      </x:c>
      <x:c r="I223" s="8" t="str">
        <x:v>api</x:v>
      </x:c>
      <x:c r="J223" s="12" t="str">
        <x:v>https://luma.com/walleconcepcion</x:v>
      </x:c>
      <x:c r="K223" s="12" t="str">
        <x:v>evt-Y7XemwW6ZisMG2J</x:v>
      </x:c>
      <x:c r="L223" s="13" t="n">
        <x:v>46245.63542770833</x:v>
      </x:c>
      <x:c r="M223" s="12" t="str">
        <x:v>wall-e:duoc-uc-sede-san-andres-de-concepcion-concepcion:2026-08-22T15:00:00.000Z</x:v>
      </x:c>
      <x:c r="N223" s="8" t="str">
        <x:f>IF(E223&gt;='Resumen'!$B$8,"Próxima","Pasada")</x:f>
        <x:v>Próxima</x:v>
      </x:c>
    </x:row>
    <x:row r="224">
      <x:c r="A224" s="12" t="str">
        <x:v>El libro de la selva</x:v>
      </x:c>
      <x:c r="B224" s="12" t="str">
        <x:v>Duoc UC: Sede San Joaquín, San Joaquín</x:v>
      </x:c>
      <x:c r="C224" s="8" t="str">
        <x:v>el-libro-de-la-selva</x:v>
      </x:c>
      <x:c r="D224" s="8" t="str">
        <x:v>duoc-uc-sede-san-joaquin-san-joaquin</x:v>
      </x:c>
      <x:c r="E224" s="9" t="n">
        <x:v>46258.5</x:v>
      </x:c>
      <x:c r="F224" s="10" t="n">
        <x:v>0.7083333333333334</x:v>
      </x:c>
      <x:c r="G224" s="11" t="n">
        <x:v>46258.875</x:v>
      </x:c>
      <x:c r="H224" s="8" t="str">
        <x:v>America/Santiago</x:v>
      </x:c>
      <x:c r="I224" s="8" t="str">
        <x:v>api</x:v>
      </x:c>
      <x:c r="J224" s="12" t="str">
        <x:v>https://luma.com/ellibrodelaselvasanjoaquin</x:v>
      </x:c>
      <x:c r="K224" s="12" t="str">
        <x:v>evt-BTiTDabBe0z1Jay</x:v>
      </x:c>
      <x:c r="L224" s="13" t="n">
        <x:v>46245.63542770833</x:v>
      </x:c>
      <x:c r="M224" s="12" t="str">
        <x:v>el-libro-de-la-selva:duoc-uc-sede-san-joaquin-san-joaquin:2026-08-24T21:00:00.000Z</x:v>
      </x:c>
      <x:c r="N224" s="8" t="str">
        <x:f>IF(E224&gt;='Resumen'!$B$8,"Próxima","Pasada")</x:f>
        <x:v>Próxima</x:v>
      </x:c>
    </x:row>
    <x:row r="225">
      <x:c r="A225" s="12" t="str">
        <x:v>El libro de la selva</x:v>
      </x:c>
      <x:c r="B225" s="12" t="str">
        <x:v>Duoc UC - Sede Padre Alonso de Ovalle, Santiago</x:v>
      </x:c>
      <x:c r="C225" s="8" t="str">
        <x:v>el-libro-de-la-selva</x:v>
      </x:c>
      <x:c r="D225" s="8" t="str">
        <x:v>duoc-uc-sede-padre-alonso-de-ovalle-santiago</x:v>
      </x:c>
      <x:c r="E225" s="9" t="n">
        <x:v>46260.5</x:v>
      </x:c>
      <x:c r="F225" s="10" t="n">
        <x:v>0.6666666666666666</x:v>
      </x:c>
      <x:c r="G225" s="11" t="n">
        <x:v>46260.833333333336</x:v>
      </x:c>
      <x:c r="H225" s="8" t="str">
        <x:v>America/Santiago</x:v>
      </x:c>
      <x:c r="I225" s="8" t="str">
        <x:v>api</x:v>
      </x:c>
      <x:c r="J225" s="12" t="str">
        <x:v>https://luma.com/ellibrodelaselvapadrealonsodeovalle</x:v>
      </x:c>
      <x:c r="K225" s="12" t="str">
        <x:v>evt-948vB9cceizww4y</x:v>
      </x:c>
      <x:c r="L225" s="13" t="n">
        <x:v>46245.63542770833</x:v>
      </x:c>
      <x:c r="M225" s="12" t="str">
        <x:v>el-libro-de-la-selva:duoc-uc-sede-padre-alonso-de-ovalle-santiago:2026-08-26T20:00:00.000Z</x:v>
      </x:c>
      <x:c r="N225" s="8" t="str">
        <x:f>IF(E225&gt;='Resumen'!$B$8,"Próxima","Pasada")</x:f>
        <x:v>Próxima</x:v>
      </x:c>
    </x:row>
    <x:row r="226">
      <x:c r="A226" s="12" t="str">
        <x:v>El libro de la selva</x:v>
      </x:c>
      <x:c r="B226" s="12" t="str">
        <x:v>Duoc UC: Sede Alameda, Santiago</x:v>
      </x:c>
      <x:c r="C226" s="8" t="str">
        <x:v>el-libro-de-la-selva</x:v>
      </x:c>
      <x:c r="D226" s="8" t="str">
        <x:v>duoc-uc-sede-alameda-santiago</x:v>
      </x:c>
      <x:c r="E226" s="9" t="n">
        <x:v>46260.5</x:v>
      </x:c>
      <x:c r="F226" s="10" t="n">
        <x:v>0.75</x:v>
      </x:c>
      <x:c r="G226" s="11" t="n">
        <x:v>46260.916666666664</x:v>
      </x:c>
      <x:c r="H226" s="8" t="str">
        <x:v>America/Santiago</x:v>
      </x:c>
      <x:c r="I226" s="8" t="str">
        <x:v>api</x:v>
      </x:c>
      <x:c r="J226" s="12" t="str">
        <x:v>https://luma.com/ellibrodelaselvaalameda</x:v>
      </x:c>
      <x:c r="K226" s="12" t="str">
        <x:v>evt-dATufkCf8QbLUkz</x:v>
      </x:c>
      <x:c r="L226" s="13" t="n">
        <x:v>46245.63542770833</x:v>
      </x:c>
      <x:c r="M226" s="12" t="str">
        <x:v>el-libro-de-la-selva:duoc-uc-sede-alameda-santiago:2026-08-26T22:00:00.000Z</x:v>
      </x:c>
      <x:c r="N226" s="8" t="str">
        <x:f>IF(E226&gt;='Resumen'!$B$8,"Próxima","Pasada")</x:f>
        <x:v>Próxima</x:v>
      </x:c>
    </x:row>
    <x:row r="227">
      <x:c r="A227" s="12" t="str">
        <x:v>El libro de la selva</x:v>
      </x:c>
      <x:c r="B227" s="12" t="str">
        <x:v>Centro de extensión Duoc UC edificio Cousiño, Valparaíso</x:v>
      </x:c>
      <x:c r="C227" s="8" t="str">
        <x:v>el-libro-de-la-selva</x:v>
      </x:c>
      <x:c r="D227" s="8" t="str">
        <x:v>centro-de-extension-duoc-uc-edificio-cousino-valparaiso</x:v>
      </x:c>
      <x:c r="E227" s="9" t="n">
        <x:v>46260.5</x:v>
      </x:c>
      <x:c r="F227" s="10" t="n">
        <x:v>0.7916666666666666</x:v>
      </x:c>
      <x:c r="G227" s="11" t="n">
        <x:v>46260.958333333336</x:v>
      </x:c>
      <x:c r="H227" s="8" t="str">
        <x:v>America/Santiago</x:v>
      </x:c>
      <x:c r="I227" s="8" t="str">
        <x:v>api</x:v>
      </x:c>
      <x:c r="J227" s="12" t="str">
        <x:v>https://luma.com/ellibrodelaselvacousino</x:v>
      </x:c>
      <x:c r="K227" s="12" t="str">
        <x:v>evt-UBZTDHS9tXbf3oo</x:v>
      </x:c>
      <x:c r="L227" s="13" t="n">
        <x:v>46245.63542770833</x:v>
      </x:c>
      <x:c r="M227" s="12" t="str">
        <x:v>el-libro-de-la-selva:centro-de-extension-duoc-uc-edificio-cousino-valparaiso:2026-08-26T23:00:00.000Z</x:v>
      </x:c>
      <x:c r="N227" s="8" t="str">
        <x:f>IF(E227&gt;='Resumen'!$B$8,"Próxima","Pasada")</x:f>
        <x:v>Próxima</x:v>
      </x:c>
    </x:row>
    <x:row r="228">
      <x:c r="A228" s="12" t="str">
        <x:v>Concierto Héroes del Cine y la TV con la Banda de Conciertos de la Armada Big Band</x:v>
      </x:c>
      <x:c r="B228" s="12" t="str">
        <x:v>Centro de extensión Duoc UC edificio Cousiño, Valparaíso</x:v>
      </x:c>
      <x:c r="C228" s="8" t="str">
        <x:v>concierto-heroes-del-cine-y-la-tv-con-la-banda-de-conciertos-de-la-armada-big-band</x:v>
      </x:c>
      <x:c r="D228" s="8" t="str">
        <x:v>centro-de-extension-duoc-uc-edificio-cousino-valparaiso</x:v>
      </x:c>
      <x:c r="E228" s="9" t="n">
        <x:v>46260.5</x:v>
      </x:c>
      <x:c r="F228" s="10" t="n">
        <x:v>0.7916666666666666</x:v>
      </x:c>
      <x:c r="G228" s="11" t="n">
        <x:v>46260.958333333336</x:v>
      </x:c>
      <x:c r="H228" s="8" t="str">
        <x:v>America/Santiago</x:v>
      </x:c>
      <x:c r="I228" s="8" t="str">
        <x:v>api</x:v>
      </x:c>
      <x:c r="J228" s="12" t="str">
        <x:v>https://luma.com/heroesdelcineylatv</x:v>
      </x:c>
      <x:c r="K228" s="12" t="str">
        <x:v>evt-whsaZTtLjpea9hc</x:v>
      </x:c>
      <x:c r="L228" s="13" t="n">
        <x:v>46245.63542770833</x:v>
      </x:c>
      <x:c r="M228" s="12" t="str">
        <x:v>concierto-heroes-del-cine-y-la-tv-con-la-banda-de-conciertos-de-la-armada-big-band:centro-de-extension-duoc-uc-edificio-cousino-valparaiso:2026-08-26T23:00:00.000Z</x:v>
      </x:c>
      <x:c r="N228" s="8" t="str">
        <x:f>IF(E228&gt;='Resumen'!$B$8,"Próxima","Pasada")</x:f>
        <x:v>Próxima</x:v>
      </x:c>
    </x:row>
    <x:row r="229">
      <x:c r="A229" s="12" t="str">
        <x:v>El libro de la selva</x:v>
      </x:c>
      <x:c r="B229" s="12" t="str">
        <x:v>Duoc UC Viña Del Mar, Viña del Mar</x:v>
      </x:c>
      <x:c r="C229" s="8" t="str">
        <x:v>el-libro-de-la-selva</x:v>
      </x:c>
      <x:c r="D229" s="8" t="str">
        <x:v>duoc-uc-vina-del-mar-vina-del-mar</x:v>
      </x:c>
      <x:c r="E229" s="9" t="n">
        <x:v>46261.5</x:v>
      </x:c>
      <x:c r="F229" s="10" t="n">
        <x:v>0.6666666666666666</x:v>
      </x:c>
      <x:c r="G229" s="11" t="n">
        <x:v>46261.833333333336</x:v>
      </x:c>
      <x:c r="H229" s="8" t="str">
        <x:v>America/Santiago</x:v>
      </x:c>
      <x:c r="I229" s="8" t="str">
        <x:v>api</x:v>
      </x:c>
      <x:c r="J229" s="12" t="str">
        <x:v>https://luma.com/ellibrodelaselvavina</x:v>
      </x:c>
      <x:c r="K229" s="12" t="str">
        <x:v>evt-UGB9Z4ykf9rnKVM</x:v>
      </x:c>
      <x:c r="L229" s="13" t="n">
        <x:v>46245.63542770833</x:v>
      </x:c>
      <x:c r="M229" s="12" t="str">
        <x:v>el-libro-de-la-selva:duoc-uc-vina-del-mar-vina-del-mar:2026-08-27T20:00:00.000Z</x:v>
      </x:c>
      <x:c r="N229" s="8" t="str">
        <x:f>IF(E229&gt;='Resumen'!$B$8,"Próxima","Pasada")</x:f>
        <x:v>Próxima</x:v>
      </x:c>
    </x:row>
    <x:row r="230">
      <x:c r="A230" s="12" t="str">
        <x:v>El libro de la selva</x:v>
      </x:c>
      <x:c r="B230" s="12" t="str">
        <x:v>Duoc UC: Sede Puente Alto, Puente Alto</x:v>
      </x:c>
      <x:c r="C230" s="8" t="str">
        <x:v>el-libro-de-la-selva</x:v>
      </x:c>
      <x:c r="D230" s="8" t="str">
        <x:v>duoc-uc-sede-puente-alto-puente-alto</x:v>
      </x:c>
      <x:c r="E230" s="9" t="n">
        <x:v>46261.5</x:v>
      </x:c>
      <x:c r="F230" s="10" t="n">
        <x:v>0.75</x:v>
      </x:c>
      <x:c r="G230" s="11" t="n">
        <x:v>46261.916666666664</x:v>
      </x:c>
      <x:c r="H230" s="8" t="str">
        <x:v>America/Santiago</x:v>
      </x:c>
      <x:c r="I230" s="8" t="str">
        <x:v>api</x:v>
      </x:c>
      <x:c r="J230" s="12" t="str">
        <x:v>https://luma.com/ellibrodelaselvapuentealto</x:v>
      </x:c>
      <x:c r="K230" s="12" t="str">
        <x:v>evt-gicn3nkmcraT1Ie</x:v>
      </x:c>
      <x:c r="L230" s="13" t="n">
        <x:v>46245.63542770833</x:v>
      </x:c>
      <x:c r="M230" s="12" t="str">
        <x:v>el-libro-de-la-selva:duoc-uc-sede-puente-alto-puente-alto:2026-08-27T22:00:00.000Z</x:v>
      </x:c>
      <x:c r="N230" s="8" t="str">
        <x:f>IF(E230&gt;='Resumen'!$B$8,"Próxima","Pasada")</x:f>
        <x:v>Próxima</x:v>
      </x:c>
    </x:row>
    <x:row r="231">
      <x:c r="A231" s="12" t="str">
        <x:v>El libro de la selva</x:v>
      </x:c>
      <x:c r="B231" s="12" t="str">
        <x:v>Duoc UC: Antonio Varas, Providencia</x:v>
      </x:c>
      <x:c r="C231" s="8" t="str">
        <x:v>el-libro-de-la-selva</x:v>
      </x:c>
      <x:c r="D231" s="8" t="str">
        <x:v>duoc-uc-antonio-varas-providencia</x:v>
      </x:c>
      <x:c r="E231" s="9" t="n">
        <x:v>46261.5</x:v>
      </x:c>
      <x:c r="F231" s="10" t="n">
        <x:v>0.75</x:v>
      </x:c>
      <x:c r="G231" s="11" t="n">
        <x:v>46261.916666666664</x:v>
      </x:c>
      <x:c r="H231" s="8" t="str">
        <x:v>America/Santiago</x:v>
      </x:c>
      <x:c r="I231" s="8" t="str">
        <x:v>api</x:v>
      </x:c>
      <x:c r="J231" s="12" t="str">
        <x:v>https://luma.com/ellibrodelaselvaantoniovaras</x:v>
      </x:c>
      <x:c r="K231" s="12" t="str">
        <x:v>evt-97eN6BSAxAuBL8C</x:v>
      </x:c>
      <x:c r="L231" s="13" t="n">
        <x:v>46245.63542770833</x:v>
      </x:c>
      <x:c r="M231" s="12" t="str">
        <x:v>el-libro-de-la-selva:duoc-uc-antonio-varas-providencia:2026-08-27T22:00:00.000Z</x:v>
      </x:c>
      <x:c r="N231" s="8" t="str">
        <x:f>IF(E231&gt;='Resumen'!$B$8,"Próxima","Pasada")</x:f>
        <x:v>Próxima</x:v>
      </x:c>
    </x:row>
    <x:row r="232">
      <x:c r="A232" s="12" t="str">
        <x:v>El Libro de la Selva</x:v>
      </x:c>
      <x:c r="B232" s="12" t="str">
        <x:v>DuocUC Sede Puerto Montt, Puerto Montt</x:v>
      </x:c>
      <x:c r="C232" s="8" t="str">
        <x:v>el-libro-de-la-selva</x:v>
      </x:c>
      <x:c r="D232" s="8" t="str">
        <x:v>duocuc-sede-puerto-montt-puerto-montt</x:v>
      </x:c>
      <x:c r="E232" s="9" t="n">
        <x:v>46262.5</x:v>
      </x:c>
      <x:c r="F232" s="10" t="n">
        <x:v>0.6354166666666666</x:v>
      </x:c>
      <x:c r="G232" s="11" t="n">
        <x:v>46262.802083333336</x:v>
      </x:c>
      <x:c r="H232" s="8" t="str">
        <x:v>America/Santiago</x:v>
      </x:c>
      <x:c r="I232" s="8" t="str">
        <x:v>api</x:v>
      </x:c>
      <x:c r="J232" s="12" t="str">
        <x:v>https://luma.com/ellibrodelaselvapuertomontt</x:v>
      </x:c>
      <x:c r="K232" s="12" t="str">
        <x:v>evt-L38Yk1KIGSGOQnJ</x:v>
      </x:c>
      <x:c r="L232" s="13" t="n">
        <x:v>46245.63542770833</x:v>
      </x:c>
      <x:c r="M232" s="12" t="str">
        <x:v>el-libro-de-la-selva:duocuc-sede-puerto-montt-puerto-montt:2026-08-28T19:15:00.000Z</x:v>
      </x:c>
      <x:c r="N232" s="8" t="str">
        <x:f>IF(E232&gt;='Resumen'!$B$8,"Próxima","Pasada")</x:f>
        <x:v>Próxima</x:v>
      </x:c>
    </x:row>
    <x:row r="233">
      <x:c r="A233" s="12" t="str">
        <x:v>El libro de la selva</x:v>
      </x:c>
      <x:c r="B233" s="12" t="str">
        <x:v>Duoc UC - Sede San Bernardo, San Bernardo</x:v>
      </x:c>
      <x:c r="C233" s="8" t="str">
        <x:v>el-libro-de-la-selva</x:v>
      </x:c>
      <x:c r="D233" s="8" t="str">
        <x:v>duoc-uc-sede-san-bernardo-san-bernardo</x:v>
      </x:c>
      <x:c r="E233" s="9" t="n">
        <x:v>46262.5</x:v>
      </x:c>
      <x:c r="F233" s="10" t="n">
        <x:v>0.7083333333333334</x:v>
      </x:c>
      <x:c r="G233" s="11" t="n">
        <x:v>46262.875</x:v>
      </x:c>
      <x:c r="H233" s="8" t="str">
        <x:v>America/Santiago</x:v>
      </x:c>
      <x:c r="I233" s="8" t="str">
        <x:v>api</x:v>
      </x:c>
      <x:c r="J233" s="12" t="str">
        <x:v>https://luma.com/ellibrodelaselvasanbernardo</x:v>
      </x:c>
      <x:c r="K233" s="12" t="str">
        <x:v>evt-H9Di0wAsu4fFpDb</x:v>
      </x:c>
      <x:c r="L233" s="13" t="n">
        <x:v>46245.63542770833</x:v>
      </x:c>
      <x:c r="M233" s="12" t="str">
        <x:v>el-libro-de-la-selva:duoc-uc-sede-san-bernardo-san-bernardo:2026-08-28T21:00:00.000Z</x:v>
      </x:c>
      <x:c r="N233" s="8" t="str">
        <x:f>IF(E233&gt;='Resumen'!$B$8,"Próxima","Pasada")</x:f>
        <x:v>Próxima</x:v>
      </x:c>
    </x:row>
    <x:row r="234">
      <x:c r="A234" s="12" t="str">
        <x:v>El libro de la selva</x:v>
      </x:c>
      <x:c r="B234" s="12" t="str">
        <x:v>Duoc UC: Sede Plaza Vespucio, La Florida</x:v>
      </x:c>
      <x:c r="C234" s="8" t="str">
        <x:v>el-libro-de-la-selva</x:v>
      </x:c>
      <x:c r="D234" s="8" t="str">
        <x:v>duoc-uc-sede-plaza-vespucio-la-florida</x:v>
      </x:c>
      <x:c r="E234" s="9" t="n">
        <x:v>46262.5</x:v>
      </x:c>
      <x:c r="F234" s="10" t="n">
        <x:v>0.75</x:v>
      </x:c>
      <x:c r="G234" s="11" t="n">
        <x:v>46262.916666666664</x:v>
      </x:c>
      <x:c r="H234" s="8" t="str">
        <x:v>America/Santiago</x:v>
      </x:c>
      <x:c r="I234" s="8" t="str">
        <x:v>api</x:v>
      </x:c>
      <x:c r="J234" s="12" t="str">
        <x:v>https://luma.com/ellibrodelaselvaplazavespucio</x:v>
      </x:c>
      <x:c r="K234" s="12" t="str">
        <x:v>evt-qlJuVJBtQQhWsPG</x:v>
      </x:c>
      <x:c r="L234" s="13" t="n">
        <x:v>46245.63542770833</x:v>
      </x:c>
      <x:c r="M234" s="12" t="str">
        <x:v>el-libro-de-la-selva:duoc-uc-sede-plaza-vespucio-la-florida:2026-08-28T22:00:00.000Z</x:v>
      </x:c>
      <x:c r="N234" s="8" t="str">
        <x:f>IF(E234&gt;='Resumen'!$B$8,"Próxima","Pasada")</x:f>
        <x:v>Próxima</x:v>
      </x:c>
    </x:row>
    <x:row r="235">
      <x:c r="A235" s="12" t="str">
        <x:v>El libro de la selva</x:v>
      </x:c>
      <x:c r="B235" s="12" t="str">
        <x:v>Duoc UC: sede Maipu, Maipú</x:v>
      </x:c>
      <x:c r="C235" s="8" t="str">
        <x:v>el-libro-de-la-selva</x:v>
      </x:c>
      <x:c r="D235" s="8" t="str">
        <x:v>duoc-uc-sede-maipu-maipu</x:v>
      </x:c>
      <x:c r="E235" s="9" t="n">
        <x:v>46263.5</x:v>
      </x:c>
      <x:c r="F235" s="10" t="n">
        <x:v>0.4583333333333333</x:v>
      </x:c>
      <x:c r="G235" s="11" t="n">
        <x:v>46263.625</x:v>
      </x:c>
      <x:c r="H235" s="8" t="str">
        <x:v>America/Santiago</x:v>
      </x:c>
      <x:c r="I235" s="8" t="str">
        <x:v>api</x:v>
      </x:c>
      <x:c r="J235" s="12" t="str">
        <x:v>https://luma.com/ellibrodelaselvamaipu</x:v>
      </x:c>
      <x:c r="K235" s="12" t="str">
        <x:v>evt-flRh7kDbL6eLsQ5</x:v>
      </x:c>
      <x:c r="L235" s="13" t="n">
        <x:v>46245.63542770833</x:v>
      </x:c>
      <x:c r="M235" s="12" t="str">
        <x:v>el-libro-de-la-selva:duoc-uc-sede-maipu-maipu:2026-08-29T15:00:00.000Z</x:v>
      </x:c>
      <x:c r="N235" s="8" t="str">
        <x:f>IF(E235&gt;='Resumen'!$B$8,"Próxima","Pasada")</x:f>
        <x:v>Próxima</x:v>
      </x:c>
    </x:row>
  </x:sheetData>
  <x:conditionalFormatting sqref="N2:N235">
    <x:cfRule type="containsText" dxfId="0" priority="1" operator="containsText" text="Próxima"/>
    <x:cfRule type="containsText" dxfId="1" priority="2" operator="containsText" text="Pasada"/>
  </x:conditionalFormatting>
  <x:pageMargins left="0.7" right="0.7" top="0.75" bottom="0.75" header="0.3" footer="0.3"/>
  <x:tableParts count="1">
    <x:tablePart xmlns:r="http://schemas.openxmlformats.org/officeDocument/2006/relationships" r:id="Refa0ed25db6945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13" hidden="0" customWidth="1"/>
    <x:col min="4" max="4" width="46" hidden="0" customWidth="1"/>
    <x:col min="5" max="5" width="13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28" customHeight="1">
      <x:c r="A1" s="4" t="str">
        <x:v>ID</x:v>
      </x:c>
      <x:c r="B1" s="4" t="str">
        <x:v>Nombre</x:v>
      </x:c>
      <x:c r="C1" s="4" t="str">
        <x:v>Tipo</x:v>
      </x:c>
      <x:c r="D1" s="4" t="str">
        <x:v>URL</x:v>
      </x:c>
      <x:c r="E1" s="4" t="str">
        <x:v>Estado</x:v>
      </x:c>
      <x:c r="F1" s="4" t="str">
        <x:v>Registros crudos</x:v>
      </x:c>
      <x:c r="G1" s="4" t="str">
        <x:v>Aceptados</x:v>
      </x:c>
      <x:c r="H1" s="4" t="str">
        <x:v>Rechazados</x:v>
      </x:c>
      <x:c r="I1" s="4" t="str">
        <x:v>Duplicados</x:v>
      </x:c>
      <x:c r="J1" s="4" t="str">
        <x:v>Error</x:v>
      </x:c>
    </x:row>
    <x:row r="2">
      <x:c r="A2" s="15" t="str">
        <x:v>normandie</x:v>
      </x:c>
      <x:c r="B2" s="15" t="str">
        <x:v>Cine Arte Normandie</x:v>
      </x:c>
      <x:c r="C2" s="15" t="str">
        <x:v>website</x:v>
      </x:c>
      <x:c r="D2" s="16" t="str">
        <x:v>https://normandie.cl/cartelera/</x:v>
      </x:c>
      <x:c r="E2" s="15" t="str">
        <x:v>Correcto</x:v>
      </x:c>
      <x:c r="F2" s="17" t="n">
        <x:v>41</x:v>
      </x:c>
      <x:c r="G2" s="17" t="n">
        <x:v>41</x:v>
      </x:c>
      <x:c r="H2" s="17" t="n">
        <x:v>0</x:v>
      </x:c>
      <x:c r="I2" s="17" t="n">
        <x:v>0</x:v>
      </x:c>
      <x:c r="J2" s="16" t="str"/>
    </x:row>
    <x:row r="3">
      <x:c r="A3" s="15" t="str">
        <x:v>passline_alameda</x:v>
      </x:c>
      <x:c r="B3" s="15" t="str">
        <x:v>Centro Arte Alameda - Passline</x:v>
      </x:c>
      <x:c r="C3" s="15" t="str">
        <x:v>website</x:v>
      </x:c>
      <x:c r="D3" s="16" t="str">
        <x:v>https://www.passline.com/venue/centro-arte-alameda</x:v>
      </x:c>
      <x:c r="E3" s="15" t="str">
        <x:v>Correcto</x:v>
      </x:c>
      <x:c r="F3" s="17" t="n">
        <x:v>0</x:v>
      </x:c>
      <x:c r="G3" s="17" t="n">
        <x:v>0</x:v>
      </x:c>
      <x:c r="H3" s="17" t="n">
        <x:v>0</x:v>
      </x:c>
      <x:c r="I3" s="17" t="n">
        <x:v>0</x:v>
      </x:c>
      <x:c r="J3" s="16" t="str"/>
    </x:row>
    <x:row r="4">
      <x:c r="A4" s="15" t="str">
        <x:v>el_biografo</x:v>
      </x:c>
      <x:c r="B4" s="15" t="str">
        <x:v>El Biógrafo</x:v>
      </x:c>
      <x:c r="C4" s="15" t="str">
        <x:v>website</x:v>
      </x:c>
      <x:c r="D4" s="16" t="str">
        <x:v>https://elbiografo.cl/#cartelera</x:v>
      </x:c>
      <x:c r="E4" s="15" t="str">
        <x:v>Correcto</x:v>
      </x:c>
      <x:c r="F4" s="17" t="n">
        <x:v>21</x:v>
      </x:c>
      <x:c r="G4" s="17" t="n">
        <x:v>21</x:v>
      </x:c>
      <x:c r="H4" s="17" t="n">
        <x:v>0</x:v>
      </x:c>
      <x:c r="I4" s="17" t="n">
        <x:v>0</x:v>
      </x:c>
      <x:c r="J4" s="16" t="str"/>
    </x:row>
    <x:row r="5">
      <x:c r="A5" s="15" t="str">
        <x:v>sala_k</x:v>
      </x:c>
      <x:c r="B5" s="15" t="str">
        <x:v>Sala K</x:v>
      </x:c>
      <x:c r="C5" s="15" t="str">
        <x:v>website</x:v>
      </x:c>
      <x:c r="D5" s="16" t="str">
        <x:v>https://salak.cl/cartelera/</x:v>
      </x:c>
      <x:c r="E5" s="15" t="str">
        <x:v>Correcto</x:v>
      </x:c>
      <x:c r="F5" s="17" t="n">
        <x:v>20</x:v>
      </x:c>
      <x:c r="G5" s="17" t="n">
        <x:v>20</x:v>
      </x:c>
      <x:c r="H5" s="17" t="n">
        <x:v>0</x:v>
      </x:c>
      <x:c r="I5" s="17" t="n">
        <x:v>0</x:v>
      </x:c>
      <x:c r="J5" s="16" t="str"/>
    </x:row>
    <x:row r="6">
      <x:c r="A6" s="15" t="str">
        <x:v>ticketplus_nemesio</x:v>
      </x:c>
      <x:c r="B6" s="15" t="str">
        <x:v>Sala Nemesio - Ticketplus</x:v>
      </x:c>
      <x:c r="C6" s="15" t="str">
        <x:v>website</x:v>
      </x:c>
      <x:c r="D6" s="16" t="str">
        <x:v>https://ticketplus.cl/companies/Sala-nemesio</x:v>
      </x:c>
      <x:c r="E6" s="15" t="str">
        <x:v>Correcto</x:v>
      </x:c>
      <x:c r="F6" s="17" t="n">
        <x:v>18</x:v>
      </x:c>
      <x:c r="G6" s="17" t="n">
        <x:v>18</x:v>
      </x:c>
      <x:c r="H6" s="17" t="n">
        <x:v>0</x:v>
      </x:c>
      <x:c r="I6" s="17" t="n">
        <x:v>0</x:v>
      </x:c>
      <x:c r="J6" s="16" t="str"/>
    </x:row>
    <x:row r="7">
      <x:c r="A7" s="15" t="str">
        <x:v>ecopass_cine_ccc</x:v>
      </x:c>
      <x:c r="B7" s="15" t="str">
        <x:v>Cine CCC - Ecopass</x:v>
      </x:c>
      <x:c r="C7" s="15" t="str">
        <x:v>website</x:v>
      </x:c>
      <x:c r="D7" s="16" t="str">
        <x:v>https://www.ecopass.cl/producers/productor/2368</x:v>
      </x:c>
      <x:c r="E7" s="15" t="str">
        <x:v>Correcto</x:v>
      </x:c>
      <x:c r="F7" s="17" t="n">
        <x:v>12</x:v>
      </x:c>
      <x:c r="G7" s="17" t="n">
        <x:v>12</x:v>
      </x:c>
      <x:c r="H7" s="17" t="n">
        <x:v>0</x:v>
      </x:c>
      <x:c r="I7" s="17" t="n">
        <x:v>0</x:v>
      </x:c>
      <x:c r="J7" s="16" t="str"/>
    </x:row>
    <x:row r="8">
      <x:c r="A8" s="15" t="str">
        <x:v>m100_cine</x:v>
      </x:c>
      <x:c r="B8" s="15" t="str">
        <x:v>Matucana 100</x:v>
      </x:c>
      <x:c r="C8" s="15" t="str">
        <x:v>website</x:v>
      </x:c>
      <x:c r="D8" s="16" t="str">
        <x:v>https://www.m100.cl/programacion/cine/</x:v>
      </x:c>
      <x:c r="E8" s="15" t="str">
        <x:v>Correcto</x:v>
      </x:c>
      <x:c r="F8" s="17" t="n">
        <x:v>39</x:v>
      </x:c>
      <x:c r="G8" s="17" t="n">
        <x:v>39</x:v>
      </x:c>
      <x:c r="H8" s="17" t="n">
        <x:v>0</x:v>
      </x:c>
      <x:c r="I8" s="17" t="n">
        <x:v>0</x:v>
      </x:c>
      <x:c r="J8" s="16" t="str"/>
    </x:row>
    <x:row r="9">
      <x:c r="A9" s="15" t="str">
        <x:v>goethe_chile</x:v>
      </x:c>
      <x:c r="B9" s="15" t="str">
        <x:v>Goethe-Institut Chile</x:v>
      </x:c>
      <x:c r="C9" s="15" t="str">
        <x:v>website</x:v>
      </x:c>
      <x:c r="D9" s="16" t="str">
        <x:v>https://www.goethe.de/ins/cl/es/ver.cfm</x:v>
      </x:c>
      <x:c r="E9" s="15" t="str">
        <x:v>Correcto</x:v>
      </x:c>
      <x:c r="F9" s="17" t="n">
        <x:v>0</x:v>
      </x:c>
      <x:c r="G9" s="17" t="n">
        <x:v>0</x:v>
      </x:c>
      <x:c r="H9" s="17" t="n">
        <x:v>0</x:v>
      </x:c>
      <x:c r="I9" s="17" t="n">
        <x:v>0</x:v>
      </x:c>
      <x:c r="J9" s="16" t="str"/>
    </x:row>
    <x:row r="10">
      <x:c r="A10" s="15" t="str">
        <x:v>cineteca_nacional</x:v>
      </x:c>
      <x:c r="B10" s="15" t="str">
        <x:v>Cineteca Nacional de Chile</x:v>
      </x:c>
      <x:c r="C10" s="15" t="str">
        <x:v>website</x:v>
      </x:c>
      <x:c r="D10" s="16" t="str">
        <x:v>https://cinetecanacional.gob.cl/cartelera/</x:v>
      </x:c>
      <x:c r="E10" s="15" t="str">
        <x:v>Correcto</x:v>
      </x:c>
      <x:c r="F10" s="17" t="n">
        <x:v>53</x:v>
      </x:c>
      <x:c r="G10" s="17" t="n">
        <x:v>53</x:v>
      </x:c>
      <x:c r="H10" s="17" t="n">
        <x:v>0</x:v>
      </x:c>
      <x:c r="I10" s="17" t="n">
        <x:v>0</x:v>
      </x:c>
      <x:c r="J10" s="16" t="str"/>
    </x:row>
    <x:row r="11">
      <x:c r="A11" s="15" t="str">
        <x:v>cine_uc</x:v>
      </x:c>
      <x:c r="B11" s="15" t="str">
        <x:v>Cine UC</x:v>
      </x:c>
      <x:c r="C11" s="15" t="str">
        <x:v>website</x:v>
      </x:c>
      <x:c r="D11" s="16" t="str">
        <x:v>https://extension.uc.cl/cine-uc/cine-uc/</x:v>
      </x:c>
      <x:c r="E11" s="15" t="str">
        <x:v>Falló</x:v>
      </x:c>
      <x:c r="F11" s="17" t="n">
        <x:v>0</x:v>
      </x:c>
      <x:c r="G11" s="17" t="n">
        <x:v>0</x:v>
      </x:c>
      <x:c r="H11" s="17" t="n">
        <x:v>0</x:v>
      </x:c>
      <x:c r="I11" s="17" t="n">
        <x:v>0</x:v>
      </x:c>
      <x:c r="J11" s="16" t="str">
        <x:v>La fuente respondió HTTP 403.</x:v>
      </x:c>
    </x:row>
    <x:row r="12">
      <x:c r="A12" s="15" t="str">
        <x:v>duoc_luma</x:v>
      </x:c>
      <x:c r="B12" s="15" t="str">
        <x:v>Duoc UC A Puertas Abiertas</x:v>
      </x:c>
      <x:c r="C12" s="15" t="str">
        <x:v>api</x:v>
      </x:c>
      <x:c r="D12" s="16" t="str">
        <x:v>https://extension.duoc.cl/</x:v>
      </x:c>
      <x:c r="E12" s="15" t="str">
        <x:v>Correcto</x:v>
      </x:c>
      <x:c r="F12" s="17" t="n">
        <x:v>30</x:v>
      </x:c>
      <x:c r="G12" s="17" t="n">
        <x:v>30</x:v>
      </x:c>
      <x:c r="H12" s="17" t="n">
        <x:v>0</x:v>
      </x:c>
      <x:c r="I12" s="17" t="n">
        <x:v>0</x:v>
      </x:c>
      <x:c r="J12" s="16" t="str"/>
    </x:row>
  </x:sheetData>
  <x:conditionalFormatting sqref="E2:E12">
    <x:cfRule type="containsText" dxfId="2" priority="1" operator="containsText" text="Correcto"/>
    <x:cfRule type="containsText" dxfId="3" priority="2" operator="containsText" text="Falló"/>
  </x:conditionalFormatting>
  <x:pageMargins left="0.7" right="0.7" top="0.75" bottom="0.75" header="0.3" footer="0.3"/>
  <x:tableParts count="1">
    <x:tablePart xmlns:r="http://schemas.openxmlformats.org/officeDocument/2006/relationships" r:id="R6fb5610f30d94b20"/>
  </x:tableParts>
</x:worksheet>
</file>